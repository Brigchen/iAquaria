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整机BOM" sheetId="1" state="visible" r:id="rId1"/>
    <sheet xmlns:r="http://schemas.openxmlformats.org/officeDocument/2006/relationships" name="分类汇总" sheetId="2" state="visible" r:id="rId2"/>
    <sheet xmlns:r="http://schemas.openxmlformats.org/officeDocument/2006/relationships" name="编制说明" sheetId="3" state="visible" r:id="rId3"/>
  </sheets>
  <definedNames>
    <definedName name="_xlnm._FilterDatabase" localSheetId="0" hidden="1">'整机BOM'!$A$1:$M$76</definedName>
    <definedName name="_xlnm.Print_Titles" localSheetId="0">'整机BOM'!$1:$1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微软雅黑"/>
      <b val="1"/>
      <color rgb="00FFFFFF"/>
      <sz val="11"/>
    </font>
    <font>
      <name val="微软雅黑"/>
      <sz val="10"/>
    </font>
    <font>
      <name val="微软雅黑"/>
      <color rgb="000563C1"/>
      <sz val="10"/>
      <u val="single"/>
    </font>
    <font>
      <name val="微软雅黑"/>
      <b val="1"/>
      <sz val="10"/>
    </font>
  </fonts>
  <fills count="6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C6EFCE"/>
      </patternFill>
    </fill>
    <fill>
      <patternFill patternType="solid">
        <fgColor rgb="00FFF2CC"/>
      </patternFill>
    </fill>
    <fill>
      <patternFill patternType="solid">
        <fgColor rgb="00DDEBF7"/>
      </patternFill>
    </fill>
  </fills>
  <borders count="2">
    <border>
      <left/>
      <right/>
      <top/>
      <bottom/>
      <diagonal/>
    </border>
    <border>
      <left style="thin">
        <color rgb="00E6E6E6"/>
      </left>
      <right style="thin">
        <color rgb="00E6E6E6"/>
      </right>
      <top style="thin">
        <color rgb="00E6E6E6"/>
      </top>
      <bottom style="thin">
        <color rgb="00E6E6E6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vertical="center" wrapText="1"/>
    </xf>
    <xf numFmtId="0" fontId="3" fillId="0" borderId="1" applyAlignment="1" pivotButton="0" quotePrefix="0" xfId="0">
      <alignment vertical="center" wrapText="1"/>
    </xf>
    <xf numFmtId="0" fontId="2" fillId="4" borderId="1" applyAlignment="1" pivotButton="0" quotePrefix="0" xfId="0">
      <alignment horizontal="center" vertical="center" wrapText="1"/>
    </xf>
    <xf numFmtId="0" fontId="2" fillId="5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item.taobao.com/item.htm?id=609077395130" TargetMode="External" Id="rId1"/><Relationship Type="http://schemas.openxmlformats.org/officeDocument/2006/relationships/hyperlink" Target="https://item.taobao.com/item.htm?id=609077395130" TargetMode="External" Id="rId2"/><Relationship Type="http://schemas.openxmlformats.org/officeDocument/2006/relationships/hyperlink" Target="https://item.taobao.com/item.htm?id=672248125634" TargetMode="External" Id="rId3"/><Relationship Type="http://schemas.openxmlformats.org/officeDocument/2006/relationships/hyperlink" Target="https://item.taobao.com/item.htm?id=535735315041" TargetMode="External" Id="rId4"/><Relationship Type="http://schemas.openxmlformats.org/officeDocument/2006/relationships/hyperlink" Target="https://item.taobao.com/item.htm?id=844208531046" TargetMode="External" Id="rId5"/><Relationship Type="http://schemas.openxmlformats.org/officeDocument/2006/relationships/hyperlink" Target="https://item.taobao.com/item.htm?id=672248125634" TargetMode="External" Id="rId6"/><Relationship Type="http://schemas.openxmlformats.org/officeDocument/2006/relationships/hyperlink" Target="https://item.taobao.com/item.htm?id=672248125634" TargetMode="External" Id="rId7"/><Relationship Type="http://schemas.openxmlformats.org/officeDocument/2006/relationships/hyperlink" Target="https://item.taobao.com/item.htm?id=659649511497" TargetMode="External" Id="rId8"/><Relationship Type="http://schemas.openxmlformats.org/officeDocument/2006/relationships/hyperlink" Target="https://item.taobao.com/item.htm?id=659649511497" TargetMode="External" Id="rId9"/><Relationship Type="http://schemas.openxmlformats.org/officeDocument/2006/relationships/hyperlink" Target="https://item.taobao.com/item.htm?id=659649511497" TargetMode="External" Id="rId10"/><Relationship Type="http://schemas.openxmlformats.org/officeDocument/2006/relationships/hyperlink" Target="https://item.taobao.com/item.htm?id=659649511497" TargetMode="External" Id="rId11"/><Relationship Type="http://schemas.openxmlformats.org/officeDocument/2006/relationships/hyperlink" Target="https://item.taobao.com/item.htm?id=624976908079" TargetMode="External" Id="rId12"/><Relationship Type="http://schemas.openxmlformats.org/officeDocument/2006/relationships/hyperlink" Target="https://item.taobao.com/item.htm?id=1045906676410" TargetMode="External" Id="rId13"/><Relationship Type="http://schemas.openxmlformats.org/officeDocument/2006/relationships/hyperlink" Target="https://item.taobao.com/item.htm?id=1082100816221" TargetMode="External" Id="rId14"/><Relationship Type="http://schemas.openxmlformats.org/officeDocument/2006/relationships/hyperlink" Target="https://item.taobao.com/item.htm?id=1079782787295" TargetMode="External" Id="rId15"/><Relationship Type="http://schemas.openxmlformats.org/officeDocument/2006/relationships/hyperlink" Target="https://item.taobao.com/item.htm?id=1051888345759" TargetMode="External" Id="rId16"/><Relationship Type="http://schemas.openxmlformats.org/officeDocument/2006/relationships/hyperlink" Target="https://item.taobao.com/item.htm?id=1051888345759" TargetMode="External" Id="rId17"/><Relationship Type="http://schemas.openxmlformats.org/officeDocument/2006/relationships/hyperlink" Target="https://item.taobao.com/item.htm?id=1052424360279" TargetMode="External" Id="rId18"/><Relationship Type="http://schemas.openxmlformats.org/officeDocument/2006/relationships/hyperlink" Target="https://item.taobao.com/item.htm?id=1052424360279" TargetMode="External" Id="rId19"/><Relationship Type="http://schemas.openxmlformats.org/officeDocument/2006/relationships/hyperlink" Target="https://item.taobao.com/item.htm?id=672248125634" TargetMode="External" Id="rId20"/><Relationship Type="http://schemas.openxmlformats.org/officeDocument/2006/relationships/hyperlink" Target="https://item.taobao.com/item.htm?id=672248125634" TargetMode="External" Id="rId21"/><Relationship Type="http://schemas.openxmlformats.org/officeDocument/2006/relationships/hyperlink" Target="https://item.taobao.com/item.htm?id=672248125634" TargetMode="External" Id="rId22"/><Relationship Type="http://schemas.openxmlformats.org/officeDocument/2006/relationships/hyperlink" Target="https://item.taobao.com/item.htm?id=672248125634" TargetMode="External" Id="rId23"/><Relationship Type="http://schemas.openxmlformats.org/officeDocument/2006/relationships/hyperlink" Target="https://item.taobao.com/item.htm?id=672248125634" TargetMode="External" Id="rId24"/><Relationship Type="http://schemas.openxmlformats.org/officeDocument/2006/relationships/hyperlink" Target="https://item.taobao.com/item.htm?id=672248125634" TargetMode="External" Id="rId25"/><Relationship Type="http://schemas.openxmlformats.org/officeDocument/2006/relationships/hyperlink" Target="https://item.taobao.com/item.htm?id=834736410877" TargetMode="External" Id="rId26"/><Relationship Type="http://schemas.openxmlformats.org/officeDocument/2006/relationships/hyperlink" Target="https://item.taobao.com/item.htm?id=1042750428317" TargetMode="External" Id="rId27"/><Relationship Type="http://schemas.openxmlformats.org/officeDocument/2006/relationships/hyperlink" Target="https://item.taobao.com/item.htm?id=609077395130" TargetMode="External" Id="rId28"/><Relationship Type="http://schemas.openxmlformats.org/officeDocument/2006/relationships/hyperlink" Target="https://item.taobao.com/item.htm?id=614238411310" TargetMode="External" Id="rId29"/><Relationship Type="http://schemas.openxmlformats.org/officeDocument/2006/relationships/hyperlink" Target="https://item.taobao.com/item.htm?id=776205367002" TargetMode="External" Id="rId30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M76"/>
  <sheetViews>
    <sheetView showGridLines="0" zoomScale="11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8" customWidth="1" min="2" max="2"/>
    <col width="12" customWidth="1" min="3" max="3"/>
    <col width="18" customWidth="1" min="4" max="4"/>
    <col width="36" customWidth="1" min="5" max="5"/>
    <col width="12" customWidth="1" min="6" max="6"/>
    <col width="12" customWidth="1" min="7" max="7"/>
    <col width="8" customWidth="1" min="8" max="8"/>
    <col width="12" customWidth="1" min="9" max="9"/>
    <col width="32" customWidth="1" min="10" max="10"/>
    <col width="42" customWidth="1" min="11" max="11"/>
    <col width="28" customWidth="1" min="12" max="12"/>
    <col width="36" customWidth="1" min="13" max="13"/>
  </cols>
  <sheetData>
    <row r="1" ht="22" customHeight="1">
      <c r="A1" s="1" t="inlineStr">
        <is>
          <t>序号</t>
        </is>
      </c>
      <c r="B1" s="1" t="inlineStr">
        <is>
          <t>区分</t>
        </is>
      </c>
      <c r="C1" s="1" t="inlineStr">
        <is>
          <t>类别</t>
        </is>
      </c>
      <c r="D1" s="1" t="inlineStr">
        <is>
          <t>物料名称</t>
        </is>
      </c>
      <c r="E1" s="1" t="inlineStr">
        <is>
          <t>规格型号</t>
        </is>
      </c>
      <c r="F1" s="1" t="inlineStr">
        <is>
          <t>单套用量</t>
        </is>
      </c>
      <c r="G1" s="1" t="inlineStr">
        <is>
          <t>采购数量</t>
        </is>
      </c>
      <c r="H1" s="1" t="inlineStr">
        <is>
          <t>单位</t>
        </is>
      </c>
      <c r="I1" s="1" t="inlineStr">
        <is>
          <t>单价（元）</t>
        </is>
      </c>
      <c r="J1" s="1" t="inlineStr">
        <is>
          <t>来源</t>
        </is>
      </c>
      <c r="K1" s="1" t="inlineStr">
        <is>
          <t>购买链接</t>
        </is>
      </c>
      <c r="L1" s="1" t="inlineStr">
        <is>
          <t>用途</t>
        </is>
      </c>
      <c r="M1" s="1" t="inlineStr">
        <is>
          <t>备注</t>
        </is>
      </c>
    </row>
    <row r="2" ht="30" customHeight="1">
      <c r="A2" s="2" t="n">
        <v>1</v>
      </c>
      <c r="B2" s="3" t="inlineStr">
        <is>
          <t>必要</t>
        </is>
      </c>
      <c r="C2" s="4" t="inlineStr">
        <is>
          <t>主控</t>
        </is>
      </c>
      <c r="D2" s="4" t="inlineStr">
        <is>
          <t>ESP32 开发板</t>
        </is>
      </c>
      <c r="E2" s="4" t="inlineStr">
        <is>
          <t>ESP32-DevKitC V4（ESP32-WROOM-32E）</t>
        </is>
      </c>
      <c r="F2" s="2" t="n">
        <v>1</v>
      </c>
      <c r="G2" s="2" t="n">
        <v>2</v>
      </c>
      <c r="H2" s="2" t="inlineStr">
        <is>
          <t>块</t>
        </is>
      </c>
      <c r="I2" s="2" t="n">
        <v>68</v>
      </c>
      <c r="J2" s="4" t="inlineStr">
        <is>
          <t>设备清单（2）.xlsx</t>
        </is>
      </c>
      <c r="K2" s="4" t="inlineStr"/>
      <c r="L2" s="4" t="inlineStr">
        <is>
          <t>采集水温、TDS 与 pH</t>
        </is>
      </c>
      <c r="M2" s="4" t="inlineStr">
        <is>
          <t>采购 2 套；该行运费 15 元</t>
        </is>
      </c>
    </row>
    <row r="3" ht="30" customHeight="1">
      <c r="A3" s="2" t="n">
        <v>2</v>
      </c>
      <c r="B3" s="3" t="inlineStr">
        <is>
          <t>必要</t>
        </is>
      </c>
      <c r="C3" s="4" t="inlineStr">
        <is>
          <t>传感</t>
        </is>
      </c>
      <c r="D3" s="4" t="inlineStr">
        <is>
          <t>水温探头</t>
        </is>
      </c>
      <c r="E3" s="4" t="inlineStr">
        <is>
          <t>DS18B20 防水型，不锈钢探头，约 1 m 线</t>
        </is>
      </c>
      <c r="F3" s="2" t="n">
        <v>1</v>
      </c>
      <c r="G3" s="2" t="n">
        <v>2</v>
      </c>
      <c r="H3" s="2" t="inlineStr">
        <is>
          <t>只</t>
        </is>
      </c>
      <c r="I3" s="2" t="n">
        <v>6</v>
      </c>
      <c r="J3" s="4" t="inlineStr">
        <is>
          <t>设备清单（2）.xlsx</t>
        </is>
      </c>
      <c r="K3" s="4" t="inlineStr"/>
      <c r="L3" s="4" t="inlineStr">
        <is>
          <t>测量水温</t>
        </is>
      </c>
      <c r="M3" s="4" t="inlineStr">
        <is>
          <t>DATA 须经 4.7 kΩ 上拉至 3.3 V</t>
        </is>
      </c>
    </row>
    <row r="4" ht="30" customHeight="1">
      <c r="A4" s="2" t="n">
        <v>3</v>
      </c>
      <c r="B4" s="3" t="inlineStr">
        <is>
          <t>必要</t>
        </is>
      </c>
      <c r="C4" s="4" t="inlineStr">
        <is>
          <t>传感</t>
        </is>
      </c>
      <c r="D4" s="4" t="inlineStr">
        <is>
          <t>TDS 传感器</t>
        </is>
      </c>
      <c r="E4" s="4" t="inlineStr">
        <is>
          <t>DFRobot SEN0244 模拟 TDS 传感器</t>
        </is>
      </c>
      <c r="F4" s="2" t="n">
        <v>1</v>
      </c>
      <c r="G4" s="2" t="n">
        <v>2</v>
      </c>
      <c r="H4" s="2" t="inlineStr">
        <is>
          <t>套</t>
        </is>
      </c>
      <c r="I4" s="2" t="n">
        <v>96</v>
      </c>
      <c r="J4" s="4" t="inlineStr">
        <is>
          <t>设备清单（2）.xlsx</t>
        </is>
      </c>
      <c r="K4" s="4" t="inlineStr"/>
      <c r="L4" s="4" t="inlineStr">
        <is>
          <t>测量溶解性固体</t>
        </is>
      </c>
      <c r="M4" s="4" t="inlineStr">
        <is>
          <t>采购 2 套；该行运费 5 元。现行固件主路径为 RS485 变送器，模拟模块可直接完成最小测量</t>
        </is>
      </c>
    </row>
    <row r="5" ht="30" customHeight="1">
      <c r="A5" s="2" t="n">
        <v>4</v>
      </c>
      <c r="B5" s="3" t="inlineStr">
        <is>
          <t>必要</t>
        </is>
      </c>
      <c r="C5" s="4" t="inlineStr">
        <is>
          <t>传感</t>
        </is>
      </c>
      <c r="D5" s="4" t="inlineStr">
        <is>
          <t>pH 传感器</t>
        </is>
      </c>
      <c r="E5" s="4" t="inlineStr">
        <is>
          <t>DFRobot SEN0161 模拟 pH 计 V2，含配套探头</t>
        </is>
      </c>
      <c r="F5" s="2" t="n">
        <v>1</v>
      </c>
      <c r="G5" s="2" t="n">
        <v>2</v>
      </c>
      <c r="H5" s="2" t="inlineStr">
        <is>
          <t>套</t>
        </is>
      </c>
      <c r="I5" s="2" t="n">
        <v>177.5</v>
      </c>
      <c r="J5" s="4" t="inlineStr">
        <is>
          <t>设备清单（2）.xlsx</t>
        </is>
      </c>
      <c r="K5" s="4" t="inlineStr"/>
      <c r="L5" s="4" t="inlineStr">
        <is>
          <t>测量酸碱度</t>
        </is>
      </c>
      <c r="M5" s="4" t="inlineStr">
        <is>
          <t>采购 2 套。与 ORP 电极不同时接入</t>
        </is>
      </c>
    </row>
    <row r="6" ht="30" customHeight="1">
      <c r="A6" s="2" t="n">
        <v>5</v>
      </c>
      <c r="B6" s="3" t="inlineStr">
        <is>
          <t>必要</t>
        </is>
      </c>
      <c r="C6" s="4" t="inlineStr">
        <is>
          <t>无源器件</t>
        </is>
      </c>
      <c r="D6" s="4" t="inlineStr">
        <is>
          <t>上拉电阻</t>
        </is>
      </c>
      <c r="E6" s="4" t="inlineStr">
        <is>
          <t>1/6 W 金属膜 4.7 kΩ 1%，100 只装</t>
        </is>
      </c>
      <c r="F6" s="2" t="n">
        <v>1</v>
      </c>
      <c r="G6" s="2" t="n">
        <v>100</v>
      </c>
      <c r="H6" s="2" t="inlineStr">
        <is>
          <t>只</t>
        </is>
      </c>
      <c r="I6" s="2" t="n">
        <v>2.47</v>
      </c>
      <c r="J6" s="4" t="inlineStr">
        <is>
          <t>淘宝订单 3316417466042003789</t>
        </is>
      </c>
      <c r="K6" s="5" t="inlineStr">
        <is>
          <t>https://item.taobao.com/item.htm?id=609077395130</t>
        </is>
      </c>
      <c r="L6" s="4" t="inlineStr">
        <is>
          <t>DS18B20 上拉</t>
        </is>
      </c>
      <c r="M6" s="4" t="inlineStr">
        <is>
          <t>单价为 100 只包装价。10 套只用 10 只，金额按 1 包计</t>
        </is>
      </c>
    </row>
    <row r="7" ht="30" customHeight="1">
      <c r="A7" s="2" t="n">
        <v>6</v>
      </c>
      <c r="B7" s="3" t="inlineStr">
        <is>
          <t>必要</t>
        </is>
      </c>
      <c r="C7" s="4" t="inlineStr">
        <is>
          <t>无源器件</t>
        </is>
      </c>
      <c r="D7" s="4" t="inlineStr">
        <is>
          <t>限流电阻</t>
        </is>
      </c>
      <c r="E7" s="4" t="inlineStr">
        <is>
          <t>1/6 W 金属膜 1 kΩ 1%，100 只装</t>
        </is>
      </c>
      <c r="F7" s="2" t="n">
        <v>1</v>
      </c>
      <c r="G7" s="2" t="n">
        <v>100</v>
      </c>
      <c r="H7" s="2" t="inlineStr">
        <is>
          <t>只</t>
        </is>
      </c>
      <c r="I7" s="2" t="n">
        <v>2.57</v>
      </c>
      <c r="J7" s="4" t="inlineStr">
        <is>
          <t>淘宝订单 3316401879043003789</t>
        </is>
      </c>
      <c r="K7" s="5" t="inlineStr">
        <is>
          <t>https://item.taobao.com/item.htm?id=609077395130</t>
        </is>
      </c>
      <c r="L7" s="4" t="inlineStr">
        <is>
          <t>故障灯基极限流</t>
        </is>
      </c>
      <c r="M7" s="4" t="inlineStr">
        <is>
          <t>单价为 100 只包装价。10 套用 10 只，金额按 1 包计</t>
        </is>
      </c>
    </row>
    <row r="8" ht="30" customHeight="1">
      <c r="A8" s="2" t="n">
        <v>7</v>
      </c>
      <c r="B8" s="3" t="inlineStr">
        <is>
          <t>必要</t>
        </is>
      </c>
      <c r="C8" s="4" t="inlineStr">
        <is>
          <t>连接</t>
        </is>
      </c>
      <c r="D8" s="4" t="inlineStr">
        <is>
          <t>杜邦线</t>
        </is>
      </c>
      <c r="E8" s="4" t="inlineStr">
        <is>
          <t>10 cm</t>
        </is>
      </c>
      <c r="F8" s="2" t="n">
        <v>1</v>
      </c>
      <c r="G8" s="2" t="n">
        <v>1</v>
      </c>
      <c r="H8" s="2" t="inlineStr">
        <is>
          <t>套</t>
        </is>
      </c>
      <c r="I8" s="2" t="n">
        <v>8.76</v>
      </c>
      <c r="J8" s="4" t="inlineStr">
        <is>
          <t>设备清单（2）.xlsx</t>
        </is>
      </c>
      <c r="K8" s="4" t="inlineStr"/>
      <c r="L8" s="4" t="inlineStr">
        <is>
          <t>盒内 BG12 插座到主控</t>
        </is>
      </c>
      <c r="M8" s="4" t="inlineStr"/>
    </row>
    <row r="9" ht="30" customHeight="1">
      <c r="A9" s="2" t="n">
        <v>8</v>
      </c>
      <c r="B9" s="3" t="inlineStr">
        <is>
          <t>必要</t>
        </is>
      </c>
      <c r="C9" s="4" t="inlineStr">
        <is>
          <t>连接</t>
        </is>
      </c>
      <c r="D9" s="4" t="inlineStr">
        <is>
          <t>杜邦线</t>
        </is>
      </c>
      <c r="E9" s="4" t="inlineStr">
        <is>
          <t>21 cm</t>
        </is>
      </c>
      <c r="F9" s="2" t="n">
        <v>1</v>
      </c>
      <c r="G9" s="2" t="n">
        <v>1</v>
      </c>
      <c r="H9" s="2" t="inlineStr">
        <is>
          <t>套</t>
        </is>
      </c>
      <c r="I9" s="2" t="n">
        <v>9.869999999999999</v>
      </c>
      <c r="J9" s="4" t="inlineStr">
        <is>
          <t>设备清单（2）.xlsx</t>
        </is>
      </c>
      <c r="K9" s="4" t="inlineStr"/>
      <c r="L9" s="4" t="inlineStr">
        <is>
          <t>盒内加长引线</t>
        </is>
      </c>
      <c r="M9" s="4" t="inlineStr"/>
    </row>
    <row r="10" ht="30" customHeight="1">
      <c r="A10" s="2" t="n">
        <v>9</v>
      </c>
      <c r="B10" s="3" t="inlineStr">
        <is>
          <t>必要</t>
        </is>
      </c>
      <c r="C10" s="4" t="inlineStr">
        <is>
          <t>连接</t>
        </is>
      </c>
      <c r="D10" s="4" t="inlineStr">
        <is>
          <t>BG12 防水接头</t>
        </is>
      </c>
      <c r="E10" s="4" t="inlineStr">
        <is>
          <t>4 芯公母套装（公插座 + 母插头）</t>
        </is>
      </c>
      <c r="F10" s="2" t="n">
        <v>3</v>
      </c>
      <c r="G10" s="2" t="n">
        <v>10</v>
      </c>
      <c r="H10" s="2" t="inlineStr">
        <is>
          <t>套</t>
        </is>
      </c>
      <c r="I10" s="2" t="n">
        <v>1.48</v>
      </c>
      <c r="J10" s="4" t="inlineStr">
        <is>
          <t>淘宝订单 3316403751043003789</t>
        </is>
      </c>
      <c r="K10" s="5" t="inlineStr">
        <is>
          <t>https://item.taobao.com/item.htm?id=672248125634</t>
        </is>
      </c>
      <c r="L10" s="4" t="inlineStr">
        <is>
          <t>水温、TDS、pH 各 1 套出盒</t>
        </is>
      </c>
      <c r="M10" s="4" t="inlineStr">
        <is>
          <t>店名写作 GX12。已购 10 套，订单实付 64.51 元含同单其余规格。开孔 Ø12</t>
        </is>
      </c>
    </row>
    <row r="11" ht="30" customHeight="1">
      <c r="A11" s="2" t="n">
        <v>10</v>
      </c>
      <c r="B11" s="3" t="inlineStr">
        <is>
          <t>必要</t>
        </is>
      </c>
      <c r="C11" s="4" t="inlineStr">
        <is>
          <t>电源</t>
        </is>
      </c>
      <c r="D11" s="4" t="inlineStr">
        <is>
          <t>12 V 电源适配器</t>
        </is>
      </c>
      <c r="E11" s="4" t="inlineStr">
        <is>
          <t>12 V / 5 A，双线一体，60 W</t>
        </is>
      </c>
      <c r="F11" s="2" t="n">
        <v>1</v>
      </c>
      <c r="G11" s="2" t="n">
        <v>2</v>
      </c>
      <c r="H11" s="2" t="inlineStr">
        <is>
          <t>只</t>
        </is>
      </c>
      <c r="I11" s="2" t="n">
        <v>18.9</v>
      </c>
      <c r="J11" s="4" t="inlineStr">
        <is>
          <t>淘宝订单 3316403103025003789</t>
        </is>
      </c>
      <c r="K11" s="5" t="inlineStr">
        <is>
          <t>https://item.taobao.com/item.htm?id=535735315041</t>
        </is>
      </c>
      <c r="L11" s="4" t="inlineStr">
        <is>
          <t>整机入口，可带后续 12 V 负载</t>
        </is>
      </c>
      <c r="M11" s="4" t="inlineStr">
        <is>
          <t>已购 2 只。交易关闭的 1 只未计入</t>
        </is>
      </c>
    </row>
    <row r="12" ht="30" customHeight="1">
      <c r="A12" s="2" t="n">
        <v>11</v>
      </c>
      <c r="B12" s="3" t="inlineStr">
        <is>
          <t>必要</t>
        </is>
      </c>
      <c r="C12" s="4" t="inlineStr">
        <is>
          <t>电源</t>
        </is>
      </c>
      <c r="D12" s="4" t="inlineStr">
        <is>
          <t>降压模块</t>
        </is>
      </c>
      <c r="E12" s="4" t="inlineStr">
        <is>
          <t>LM2596S 可调，带显示，3 A</t>
        </is>
      </c>
      <c r="F12" s="2" t="n">
        <v>1</v>
      </c>
      <c r="G12" s="2" t="n">
        <v>3</v>
      </c>
      <c r="H12" s="2" t="inlineStr">
        <is>
          <t>块</t>
        </is>
      </c>
      <c r="I12" s="2" t="n">
        <v>6.8</v>
      </c>
      <c r="J12" s="4" t="inlineStr">
        <is>
          <t>淘宝订单 3316864981002003789</t>
        </is>
      </c>
      <c r="K12" s="5" t="inlineStr">
        <is>
          <t>https://item.taobao.com/item.htm?id=844208531046</t>
        </is>
      </c>
      <c r="L12" s="4" t="inlineStr">
        <is>
          <t>12 V 转为 5 V，供主控与模拟传感器</t>
        </is>
      </c>
      <c r="M12" s="4" t="inlineStr">
        <is>
          <t>空载先调至 5.0 V。已购 3 块</t>
        </is>
      </c>
    </row>
    <row r="13" ht="30" customHeight="1">
      <c r="A13" s="2" t="n">
        <v>12</v>
      </c>
      <c r="B13" s="3" t="inlineStr">
        <is>
          <t>必要</t>
        </is>
      </c>
      <c r="C13" s="4" t="inlineStr">
        <is>
          <t>连接</t>
        </is>
      </c>
      <c r="D13" s="4" t="inlineStr">
        <is>
          <t>BG16 防水插座</t>
        </is>
      </c>
      <c r="E13" s="4" t="inlineStr">
        <is>
          <t>2 芯公插座，焊 20 cm 线</t>
        </is>
      </c>
      <c r="F13" s="2" t="n">
        <v>1</v>
      </c>
      <c r="G13" s="2" t="n">
        <v>2</v>
      </c>
      <c r="H13" s="2" t="inlineStr">
        <is>
          <t>只</t>
        </is>
      </c>
      <c r="I13" s="2" t="n">
        <v>4.23</v>
      </c>
      <c r="J13" s="4" t="inlineStr">
        <is>
          <t>淘宝订单 3316403751043003789</t>
        </is>
      </c>
      <c r="K13" s="5" t="inlineStr">
        <is>
          <t>https://item.taobao.com/item.htm?id=672248125634</t>
        </is>
      </c>
      <c r="L13" s="4" t="inlineStr">
        <is>
          <t>12 V 进盒，装在盒壁</t>
        </is>
      </c>
      <c r="M13" s="4" t="inlineStr">
        <is>
          <t>店名写作 GX16。已购 2 只。开孔 Ø16</t>
        </is>
      </c>
    </row>
    <row r="14" ht="30" customHeight="1">
      <c r="A14" s="2" t="n">
        <v>13</v>
      </c>
      <c r="B14" s="3" t="inlineStr">
        <is>
          <t>必要</t>
        </is>
      </c>
      <c r="C14" s="4" t="inlineStr">
        <is>
          <t>连接</t>
        </is>
      </c>
      <c r="D14" s="4" t="inlineStr">
        <is>
          <t>BG16 防水插头</t>
        </is>
      </c>
      <c r="E14" s="4" t="inlineStr">
        <is>
          <t>2 芯母插头，焊 1 m 线</t>
        </is>
      </c>
      <c r="F14" s="2" t="n">
        <v>1</v>
      </c>
      <c r="G14" s="2" t="n">
        <v>2</v>
      </c>
      <c r="H14" s="2" t="inlineStr">
        <is>
          <t>条</t>
        </is>
      </c>
      <c r="I14" s="2" t="n">
        <v>7.31</v>
      </c>
      <c r="J14" s="4" t="inlineStr">
        <is>
          <t>淘宝订单 3316431687011003789</t>
        </is>
      </c>
      <c r="K14" s="5" t="inlineStr">
        <is>
          <t>https://item.taobao.com/item.htm?id=672248125634</t>
        </is>
      </c>
      <c r="L14" s="4" t="inlineStr">
        <is>
          <t>12 V 适配器侧对插</t>
        </is>
      </c>
      <c r="M14" s="4" t="inlineStr">
        <is>
          <t>店名写作 GX16。已购 2 条，实付 14.61 元</t>
        </is>
      </c>
    </row>
    <row r="15" ht="30" customHeight="1">
      <c r="A15" s="2" t="n">
        <v>14</v>
      </c>
      <c r="B15" s="3" t="inlineStr">
        <is>
          <t>必要</t>
        </is>
      </c>
      <c r="C15" s="4" t="inlineStr">
        <is>
          <t>连接</t>
        </is>
      </c>
      <c r="D15" s="4" t="inlineStr">
        <is>
          <t>电源开关</t>
        </is>
      </c>
      <c r="E15" s="4" t="inlineStr">
        <is>
          <t>圆形面板开关，12 V，触点 ≥5 A</t>
        </is>
      </c>
      <c r="F15" s="2" t="n">
        <v>1</v>
      </c>
      <c r="G15" s="2" t="n">
        <v>0</v>
      </c>
      <c r="H15" s="2" t="inlineStr">
        <is>
          <t>只</t>
        </is>
      </c>
      <c r="I15" s="2" t="inlineStr"/>
      <c r="J15" s="4" t="inlineStr"/>
      <c r="K15" s="4" t="inlineStr"/>
      <c r="L15" s="4" t="inlineStr">
        <is>
          <t>开关机，串在 BG16 之后的正极</t>
        </is>
      </c>
      <c r="M15" s="4" t="inlineStr">
        <is>
          <t>购物记录未含，不估价格。装在电源口旁，开孔 Ø12</t>
        </is>
      </c>
    </row>
    <row r="16" ht="30" customHeight="1">
      <c r="A16" s="2" t="n">
        <v>15</v>
      </c>
      <c r="B16" s="3" t="inlineStr">
        <is>
          <t>必要</t>
        </is>
      </c>
      <c r="C16" s="4" t="inlineStr">
        <is>
          <t>指示</t>
        </is>
      </c>
      <c r="D16" s="4" t="inlineStr">
        <is>
          <t>开机指示灯</t>
        </is>
      </c>
      <c r="E16" s="4" t="inlineStr">
        <is>
          <t>绿色面板灯，12 V，自带电阻</t>
        </is>
      </c>
      <c r="F16" s="2" t="n">
        <v>1</v>
      </c>
      <c r="G16" s="2" t="n">
        <v>0</v>
      </c>
      <c r="H16" s="2" t="inlineStr">
        <is>
          <t>只</t>
        </is>
      </c>
      <c r="I16" s="2" t="inlineStr"/>
      <c r="J16" s="4" t="inlineStr"/>
      <c r="K16" s="4" t="inlineStr"/>
      <c r="L16" s="4" t="inlineStr">
        <is>
          <t>开关接通后点亮</t>
        </is>
      </c>
      <c r="M16" s="4" t="inlineStr">
        <is>
          <t>购物记录未含，不估价格。装在电源口旁</t>
        </is>
      </c>
    </row>
    <row r="17" ht="30" customHeight="1">
      <c r="A17" s="2" t="n">
        <v>16</v>
      </c>
      <c r="B17" s="3" t="inlineStr">
        <is>
          <t>必要</t>
        </is>
      </c>
      <c r="C17" s="4" t="inlineStr">
        <is>
          <t>指示</t>
        </is>
      </c>
      <c r="D17" s="4" t="inlineStr">
        <is>
          <t>故障指示灯</t>
        </is>
      </c>
      <c r="E17" s="4" t="inlineStr">
        <is>
          <t>红色面板灯，12 V，自带电阻</t>
        </is>
      </c>
      <c r="F17" s="2" t="n">
        <v>1</v>
      </c>
      <c r="G17" s="2" t="n">
        <v>0</v>
      </c>
      <c r="H17" s="2" t="inlineStr">
        <is>
          <t>只</t>
        </is>
      </c>
      <c r="I17" s="2" t="inlineStr"/>
      <c r="J17" s="4" t="inlineStr"/>
      <c r="K17" s="4" t="inlineStr"/>
      <c r="L17" s="4" t="inlineStr">
        <is>
          <t>测值无效或供电异常时点亮</t>
        </is>
      </c>
      <c r="M17" s="4" t="inlineStr">
        <is>
          <t>购物记录未含，不估价格。装在电源口旁，由主控经三极管驱动</t>
        </is>
      </c>
    </row>
    <row r="18" ht="30" customHeight="1">
      <c r="A18" s="2" t="n">
        <v>17</v>
      </c>
      <c r="B18" s="3" t="inlineStr">
        <is>
          <t>必要</t>
        </is>
      </c>
      <c r="C18" s="4" t="inlineStr">
        <is>
          <t>半导体</t>
        </is>
      </c>
      <c r="D18" s="4" t="inlineStr">
        <is>
          <t>三极管</t>
        </is>
      </c>
      <c r="E18" s="4" t="inlineStr">
        <is>
          <t>S8050，NPN，TO-92</t>
        </is>
      </c>
      <c r="F18" s="2" t="n">
        <v>1</v>
      </c>
      <c r="G18" s="2" t="n">
        <v>0</v>
      </c>
      <c r="H18" s="2" t="inlineStr">
        <is>
          <t>只</t>
        </is>
      </c>
      <c r="I18" s="2" t="inlineStr"/>
      <c r="J18" s="4" t="inlineStr"/>
      <c r="K18" s="4" t="inlineStr"/>
      <c r="L18" s="4" t="inlineStr">
        <is>
          <t>低边驱动故障灯</t>
        </is>
      </c>
      <c r="M18" s="4" t="inlineStr">
        <is>
          <t>购物记录未含，不估价格。基极串 1 kΩ，发射极接 GND</t>
        </is>
      </c>
    </row>
    <row r="19" ht="30" customHeight="1">
      <c r="A19" s="2" t="n">
        <v>18</v>
      </c>
      <c r="B19" s="3" t="inlineStr">
        <is>
          <t>必要</t>
        </is>
      </c>
      <c r="C19" s="4" t="inlineStr">
        <is>
          <t>结构</t>
        </is>
      </c>
      <c r="D19" s="4" t="inlineStr">
        <is>
          <t>防水盒</t>
        </is>
      </c>
      <c r="E19" s="4" t="inlineStr">
        <is>
          <t>防水盒</t>
        </is>
      </c>
      <c r="F19" s="2" t="n">
        <v>1</v>
      </c>
      <c r="G19" s="2" t="n">
        <v>2</v>
      </c>
      <c r="H19" s="2" t="inlineStr">
        <is>
          <t>只</t>
        </is>
      </c>
      <c r="I19" s="2" t="n">
        <v>7.02</v>
      </c>
      <c r="J19" s="4" t="inlineStr">
        <is>
          <t>设备清单（2）.xlsx</t>
        </is>
      </c>
      <c r="K19" s="4" t="inlineStr"/>
      <c r="L19" s="4" t="inlineStr">
        <is>
          <t>主控安装</t>
        </is>
      </c>
      <c r="M19" s="4" t="inlineStr"/>
    </row>
    <row r="20" ht="30" customHeight="1">
      <c r="A20" s="2" t="n">
        <v>19</v>
      </c>
      <c r="B20" s="3" t="inlineStr">
        <is>
          <t>必要</t>
        </is>
      </c>
      <c r="C20" s="4" t="inlineStr">
        <is>
          <t>结构</t>
        </is>
      </c>
      <c r="D20" s="4" t="inlineStr">
        <is>
          <t>防水盒底板</t>
        </is>
      </c>
      <c r="E20" s="4" t="inlineStr">
        <is>
          <t>底板</t>
        </is>
      </c>
      <c r="F20" s="2" t="n">
        <v>1</v>
      </c>
      <c r="G20" s="2" t="n">
        <v>2</v>
      </c>
      <c r="H20" s="2" t="inlineStr">
        <is>
          <t>块</t>
        </is>
      </c>
      <c r="I20" s="2" t="n">
        <v>4.8</v>
      </c>
      <c r="J20" s="4" t="inlineStr">
        <is>
          <t>设备清单（2）.xlsx</t>
        </is>
      </c>
      <c r="K20" s="4" t="inlineStr"/>
      <c r="L20" s="4" t="inlineStr">
        <is>
          <t>盒内安装</t>
        </is>
      </c>
      <c r="M20" s="4" t="inlineStr">
        <is>
          <t>该行运费 8 元</t>
        </is>
      </c>
    </row>
    <row r="21" ht="30" customHeight="1">
      <c r="A21" s="2" t="n">
        <v>20</v>
      </c>
      <c r="B21" s="3" t="inlineStr">
        <is>
          <t>必要</t>
        </is>
      </c>
      <c r="C21" s="4" t="inlineStr">
        <is>
          <t>结构</t>
        </is>
      </c>
      <c r="D21" s="4" t="inlineStr">
        <is>
          <t>ESP32 外壳</t>
        </is>
      </c>
      <c r="E21" s="4" t="inlineStr">
        <is>
          <t>开发板外壳</t>
        </is>
      </c>
      <c r="F21" s="2" t="n">
        <v>1</v>
      </c>
      <c r="G21" s="2" t="n">
        <v>2</v>
      </c>
      <c r="H21" s="2" t="inlineStr">
        <is>
          <t>只</t>
        </is>
      </c>
      <c r="I21" s="2" t="n">
        <v>5</v>
      </c>
      <c r="J21" s="4" t="inlineStr">
        <is>
          <t>设备清单（2）.xlsx</t>
        </is>
      </c>
      <c r="K21" s="4" t="inlineStr"/>
      <c r="L21" s="4" t="inlineStr">
        <is>
          <t>主控防护</t>
        </is>
      </c>
      <c r="M21" s="4" t="inlineStr">
        <is>
          <t>该行运费 15 元</t>
        </is>
      </c>
    </row>
    <row r="22" ht="30" customHeight="1">
      <c r="A22" s="2" t="n">
        <v>21</v>
      </c>
      <c r="B22" s="3" t="inlineStr">
        <is>
          <t>必要</t>
        </is>
      </c>
      <c r="C22" s="4" t="inlineStr">
        <is>
          <t>紧固</t>
        </is>
      </c>
      <c r="D22" s="4" t="inlineStr">
        <is>
          <t>尼龙铜柱</t>
        </is>
      </c>
      <c r="E22" s="4" t="inlineStr">
        <is>
          <t>套装</t>
        </is>
      </c>
      <c r="F22" s="2" t="n">
        <v>1</v>
      </c>
      <c r="G22" s="2" t="n">
        <v>2</v>
      </c>
      <c r="H22" s="2" t="inlineStr">
        <is>
          <t>套</t>
        </is>
      </c>
      <c r="I22" s="2" t="n">
        <v>33.77</v>
      </c>
      <c r="J22" s="4" t="inlineStr">
        <is>
          <t>设备清单（2）.xlsx</t>
        </is>
      </c>
      <c r="K22" s="4" t="inlineStr"/>
      <c r="L22" s="4" t="inlineStr">
        <is>
          <t>板间支撑</t>
        </is>
      </c>
      <c r="M22" s="4" t="inlineStr"/>
    </row>
    <row r="23" ht="30" customHeight="1">
      <c r="A23" s="2" t="n">
        <v>22</v>
      </c>
      <c r="B23" s="3" t="inlineStr">
        <is>
          <t>必要</t>
        </is>
      </c>
      <c r="C23" s="4" t="inlineStr">
        <is>
          <t>辅料</t>
        </is>
      </c>
      <c r="D23" s="4" t="inlineStr">
        <is>
          <t>热缩管</t>
        </is>
      </c>
      <c r="E23" s="4" t="inlineStr">
        <is>
          <t>四倍带胶，内径 4 mm，4 m，黑</t>
        </is>
      </c>
      <c r="F23" s="2" t="n">
        <v>1</v>
      </c>
      <c r="G23" s="2" t="n">
        <v>1</v>
      </c>
      <c r="H23" s="2" t="inlineStr">
        <is>
          <t>卷</t>
        </is>
      </c>
      <c r="I23" s="2" t="n">
        <v>3.78</v>
      </c>
      <c r="J23" s="4" t="inlineStr">
        <is>
          <t>淘宝订单 3316403175061003789</t>
        </is>
      </c>
      <c r="K23" s="5" t="inlineStr">
        <is>
          <t>https://item.taobao.com/item.htm?id=659649511497</t>
        </is>
      </c>
      <c r="L23" s="4" t="inlineStr">
        <is>
          <t>信号线绝缘</t>
        </is>
      </c>
      <c r="M23" s="4" t="inlineStr">
        <is>
          <t>订单实付 14.51 元，含下列三种规格</t>
        </is>
      </c>
    </row>
    <row r="24" ht="30" customHeight="1">
      <c r="A24" s="2" t="n">
        <v>23</v>
      </c>
      <c r="B24" s="3" t="inlineStr">
        <is>
          <t>必要</t>
        </is>
      </c>
      <c r="C24" s="4" t="inlineStr">
        <is>
          <t>辅料</t>
        </is>
      </c>
      <c r="D24" s="4" t="inlineStr">
        <is>
          <t>热缩管</t>
        </is>
      </c>
      <c r="E24" s="4" t="inlineStr">
        <is>
          <t>四倍带胶，内径 6 mm，4 m，黑</t>
        </is>
      </c>
      <c r="F24" s="2" t="n">
        <v>1</v>
      </c>
      <c r="G24" s="2" t="n">
        <v>1</v>
      </c>
      <c r="H24" s="2" t="inlineStr">
        <is>
          <t>卷</t>
        </is>
      </c>
      <c r="I24" s="2" t="n">
        <v>4.16</v>
      </c>
      <c r="J24" s="4" t="inlineStr">
        <is>
          <t>淘宝订单 3316403175061003789</t>
        </is>
      </c>
      <c r="K24" s="5" t="inlineStr">
        <is>
          <t>https://item.taobao.com/item.htm?id=659649511497</t>
        </is>
      </c>
      <c r="L24" s="4" t="inlineStr">
        <is>
          <t>探头线绝缘</t>
        </is>
      </c>
      <c r="M24" s="4" t="inlineStr"/>
    </row>
    <row r="25" ht="30" customHeight="1">
      <c r="A25" s="2" t="n">
        <v>24</v>
      </c>
      <c r="B25" s="3" t="inlineStr">
        <is>
          <t>必要</t>
        </is>
      </c>
      <c r="C25" s="4" t="inlineStr">
        <is>
          <t>辅料</t>
        </is>
      </c>
      <c r="D25" s="4" t="inlineStr">
        <is>
          <t>热缩管</t>
        </is>
      </c>
      <c r="E25" s="4" t="inlineStr">
        <is>
          <t>四倍带胶，内径 8 mm，2 m，黑</t>
        </is>
      </c>
      <c r="F25" s="2" t="n">
        <v>1</v>
      </c>
      <c r="G25" s="2" t="n">
        <v>1</v>
      </c>
      <c r="H25" s="2" t="inlineStr">
        <is>
          <t>卷</t>
        </is>
      </c>
      <c r="I25" s="2" t="n">
        <v>3.48</v>
      </c>
      <c r="J25" s="4" t="inlineStr">
        <is>
          <t>淘宝订单 3316403175061003789</t>
        </is>
      </c>
      <c r="K25" s="5" t="inlineStr">
        <is>
          <t>https://item.taobao.com/item.htm?id=659649511497</t>
        </is>
      </c>
      <c r="L25" s="4" t="inlineStr">
        <is>
          <t>电源线绝缘</t>
        </is>
      </c>
      <c r="M25" s="4" t="inlineStr"/>
    </row>
    <row r="26" ht="30" customHeight="1">
      <c r="A26" s="2" t="n">
        <v>25</v>
      </c>
      <c r="B26" s="3" t="inlineStr">
        <is>
          <t>必要</t>
        </is>
      </c>
      <c r="C26" s="4" t="inlineStr">
        <is>
          <t>辅料</t>
        </is>
      </c>
      <c r="D26" s="4" t="inlineStr">
        <is>
          <t>热缩管</t>
        </is>
      </c>
      <c r="E26" s="4" t="inlineStr">
        <is>
          <t>四倍带胶，内径 12 mm，1 m，黑</t>
        </is>
      </c>
      <c r="F26" s="2" t="n">
        <v>1</v>
      </c>
      <c r="G26" s="2" t="n">
        <v>1</v>
      </c>
      <c r="H26" s="2" t="inlineStr">
        <is>
          <t>卷</t>
        </is>
      </c>
      <c r="I26" s="2" t="n">
        <v>3.09</v>
      </c>
      <c r="J26" s="4" t="inlineStr">
        <is>
          <t>淘宝订单 3316403175061003789</t>
        </is>
      </c>
      <c r="K26" s="5" t="inlineStr">
        <is>
          <t>https://item.taobao.com/item.htm?id=659649511497</t>
        </is>
      </c>
      <c r="L26" s="4" t="inlineStr">
        <is>
          <t>电源线绝缘</t>
        </is>
      </c>
      <c r="M26" s="4" t="inlineStr"/>
    </row>
    <row r="27" ht="30" customHeight="1">
      <c r="A27" s="2" t="n">
        <v>26</v>
      </c>
      <c r="B27" s="3" t="inlineStr">
        <is>
          <t>必要</t>
        </is>
      </c>
      <c r="C27" s="4" t="inlineStr">
        <is>
          <t>3D打印</t>
        </is>
      </c>
      <c r="D27" s="4" t="inlineStr">
        <is>
          <t>探头缸沿支架</t>
        </is>
      </c>
      <c r="E27" s="4" t="inlineStr">
        <is>
          <t>ProbeH_Bracket，水温 Ø8、TDS Ø10、pH Ø30</t>
        </is>
      </c>
      <c r="F27" s="2" t="n">
        <v>1</v>
      </c>
      <c r="G27" s="2" t="n">
        <v>2</v>
      </c>
      <c r="H27" s="2" t="inlineStr">
        <is>
          <t>只</t>
        </is>
      </c>
      <c r="I27" s="2" t="inlineStr"/>
      <c r="J27" s="4" t="inlineStr">
        <is>
          <t>docs/probe_h_bracket/stl/ProbeH_Bracket.stl</t>
        </is>
      </c>
      <c r="K27" s="4" t="inlineStr"/>
      <c r="L27" s="4" t="inlineStr">
        <is>
          <t>三只探头安装</t>
        </is>
      </c>
      <c r="M27" s="4" t="inlineStr">
        <is>
          <t>自制，无采购价。顶紧为打印 M8 螺纹，购物记录未单列金属螺丝</t>
        </is>
      </c>
    </row>
    <row r="28" ht="30" customHeight="1">
      <c r="A28" s="2" t="n">
        <v>27</v>
      </c>
      <c r="B28" s="6" t="inlineStr">
        <is>
          <t>选购</t>
        </is>
      </c>
      <c r="C28" s="4" t="inlineStr">
        <is>
          <t>传感</t>
        </is>
      </c>
      <c r="D28" s="4" t="inlineStr">
        <is>
          <t>光照传感器</t>
        </is>
      </c>
      <c r="E28" s="4" t="inlineStr">
        <is>
          <t>BH1750FVI 数字光照模块</t>
        </is>
      </c>
      <c r="F28" s="2" t="n">
        <v>1</v>
      </c>
      <c r="G28" s="2" t="n">
        <v>2</v>
      </c>
      <c r="H28" s="2" t="inlineStr">
        <is>
          <t>块</t>
        </is>
      </c>
      <c r="I28" s="2" t="n">
        <v>9.119999999999999</v>
      </c>
      <c r="J28" s="4" t="inlineStr">
        <is>
          <t>设备清单（2）.xlsx</t>
        </is>
      </c>
      <c r="K28" s="4" t="inlineStr"/>
      <c r="L28" s="4" t="inlineStr">
        <is>
          <t>照度</t>
        </is>
      </c>
      <c r="M28" s="4" t="inlineStr"/>
    </row>
    <row r="29" ht="30" customHeight="1">
      <c r="A29" s="2" t="n">
        <v>28</v>
      </c>
      <c r="B29" s="6" t="inlineStr">
        <is>
          <t>选购</t>
        </is>
      </c>
      <c r="C29" s="4" t="inlineStr">
        <is>
          <t>传感</t>
        </is>
      </c>
      <c r="D29" s="4" t="inlineStr">
        <is>
          <t>超声波模块</t>
        </is>
      </c>
      <c r="E29" s="4" t="inlineStr">
        <is>
          <t>HC-SR04</t>
        </is>
      </c>
      <c r="F29" s="2" t="n">
        <v>1</v>
      </c>
      <c r="G29" s="2" t="n">
        <v>2</v>
      </c>
      <c r="H29" s="2" t="inlineStr">
        <is>
          <t>只</t>
        </is>
      </c>
      <c r="I29" s="2" t="n">
        <v>3.92</v>
      </c>
      <c r="J29" s="4" t="inlineStr">
        <is>
          <t>设备清单（2）.xlsx</t>
        </is>
      </c>
      <c r="K29" s="4" t="inlineStr"/>
      <c r="L29" s="4" t="inlineStr">
        <is>
          <t>水位</t>
        </is>
      </c>
      <c r="M29" s="4" t="inlineStr">
        <is>
          <t>该行运费 2.5 元；ECHO 需 1 kΩ 与 2 kΩ 分压</t>
        </is>
      </c>
    </row>
    <row r="30" ht="30" customHeight="1">
      <c r="A30" s="2" t="n">
        <v>29</v>
      </c>
      <c r="B30" s="6" t="inlineStr">
        <is>
          <t>选购</t>
        </is>
      </c>
      <c r="C30" s="4" t="inlineStr">
        <is>
          <t>视觉</t>
        </is>
      </c>
      <c r="D30" s="4" t="inlineStr">
        <is>
          <t>ESP32-CAM</t>
        </is>
      </c>
      <c r="E30" s="4" t="inlineStr">
        <is>
          <t>开发板 + OV2640 摄像头 + 天线</t>
        </is>
      </c>
      <c r="F30" s="2" t="n">
        <v>1</v>
      </c>
      <c r="G30" s="2" t="n">
        <v>1</v>
      </c>
      <c r="H30" s="2" t="inlineStr">
        <is>
          <t>套</t>
        </is>
      </c>
      <c r="I30" s="2" t="n">
        <v>50.8</v>
      </c>
      <c r="J30" s="4" t="inlineStr">
        <is>
          <t>淘宝订单 3316868401116022153</t>
        </is>
      </c>
      <c r="K30" s="5" t="inlineStr">
        <is>
          <t>https://item.taobao.com/item.htm?id=624976908079</t>
        </is>
      </c>
      <c r="L30" s="4" t="inlineStr">
        <is>
          <t>图像采集</t>
        </is>
      </c>
      <c r="M30" s="4" t="inlineStr">
        <is>
          <t>绿深旗舰店</t>
        </is>
      </c>
    </row>
    <row r="31" ht="30" customHeight="1">
      <c r="A31" s="2" t="n">
        <v>30</v>
      </c>
      <c r="B31" s="6" t="inlineStr">
        <is>
          <t>选购</t>
        </is>
      </c>
      <c r="C31" s="4" t="inlineStr">
        <is>
          <t>执行</t>
        </is>
      </c>
      <c r="D31" s="4" t="inlineStr">
        <is>
          <t>四路继电器</t>
        </is>
      </c>
      <c r="E31" s="4" t="inlineStr">
        <is>
          <t>5 V 光耦隔离</t>
        </is>
      </c>
      <c r="F31" s="2" t="n">
        <v>1</v>
      </c>
      <c r="G31" s="2" t="n">
        <v>2</v>
      </c>
      <c r="H31" s="2" t="inlineStr">
        <is>
          <t>块</t>
        </is>
      </c>
      <c r="I31" s="2" t="n">
        <v>16.55</v>
      </c>
      <c r="J31" s="4" t="inlineStr">
        <is>
          <t>设备清单（2）.xlsx</t>
        </is>
      </c>
      <c r="K31" s="4" t="inlineStr"/>
      <c r="L31" s="4" t="inlineStr">
        <is>
          <t>照明、加热、补水、投喂</t>
        </is>
      </c>
      <c r="M31" s="4" t="inlineStr">
        <is>
          <t>低电平触发时上电须保持断开</t>
        </is>
      </c>
    </row>
    <row r="32" ht="30" customHeight="1">
      <c r="A32" s="2" t="n">
        <v>31</v>
      </c>
      <c r="B32" s="6" t="inlineStr">
        <is>
          <t>选购</t>
        </is>
      </c>
      <c r="C32" s="4" t="inlineStr">
        <is>
          <t>执行</t>
        </is>
      </c>
      <c r="D32" s="4" t="inlineStr">
        <is>
          <t>MOSFET 驱动模块</t>
        </is>
      </c>
      <c r="E32" s="4" t="inlineStr">
        <is>
          <t>IRF520</t>
        </is>
      </c>
      <c r="F32" s="2" t="n">
        <v>1</v>
      </c>
      <c r="G32" s="2" t="n">
        <v>2</v>
      </c>
      <c r="H32" s="2" t="inlineStr">
        <is>
          <t>块</t>
        </is>
      </c>
      <c r="I32" s="2" t="n">
        <v>4.22</v>
      </c>
      <c r="J32" s="4" t="inlineStr">
        <is>
          <t>设备清单（2）.xlsx</t>
        </is>
      </c>
      <c r="K32" s="4" t="inlineStr"/>
      <c r="L32" s="4" t="inlineStr">
        <is>
          <t>电磁阀低边驱动</t>
        </is>
      </c>
      <c r="M32" s="4" t="inlineStr"/>
    </row>
    <row r="33" ht="30" customHeight="1">
      <c r="A33" s="2" t="n">
        <v>32</v>
      </c>
      <c r="B33" s="6" t="inlineStr">
        <is>
          <t>选购</t>
        </is>
      </c>
      <c r="C33" s="4" t="inlineStr">
        <is>
          <t>执行</t>
        </is>
      </c>
      <c r="D33" s="4" t="inlineStr">
        <is>
          <t>二氧化碳电磁阀</t>
        </is>
      </c>
      <c r="E33" s="4" t="inlineStr">
        <is>
          <t>12 V，含气管接头</t>
        </is>
      </c>
      <c r="F33" s="2" t="n">
        <v>1</v>
      </c>
      <c r="G33" s="2" t="n">
        <v>2</v>
      </c>
      <c r="H33" s="2" t="inlineStr">
        <is>
          <t>套</t>
        </is>
      </c>
      <c r="I33" s="2" t="n">
        <v>57.42</v>
      </c>
      <c r="J33" s="4" t="inlineStr">
        <is>
          <t>设备清单（2）.xlsx</t>
        </is>
      </c>
      <c r="K33" s="4" t="inlineStr"/>
      <c r="L33" s="4" t="inlineStr">
        <is>
          <t>二氧化碳供给</t>
        </is>
      </c>
      <c r="M33" s="4" t="inlineStr"/>
    </row>
    <row r="34" ht="30" customHeight="1">
      <c r="A34" s="2" t="n">
        <v>33</v>
      </c>
      <c r="B34" s="6" t="inlineStr">
        <is>
          <t>选购</t>
        </is>
      </c>
      <c r="C34" s="4" t="inlineStr">
        <is>
          <t>执行</t>
        </is>
      </c>
      <c r="D34" s="4" t="inlineStr">
        <is>
          <t>计泡器与止逆阀</t>
        </is>
      </c>
      <c r="E34" s="4" t="inlineStr">
        <is>
          <t>CO₂ 计泡器 + 止逆阀</t>
        </is>
      </c>
      <c r="F34" s="2" t="n">
        <v>1</v>
      </c>
      <c r="G34" s="2" t="n">
        <v>2</v>
      </c>
      <c r="H34" s="2" t="inlineStr">
        <is>
          <t>套</t>
        </is>
      </c>
      <c r="I34" s="2" t="n">
        <v>53.46</v>
      </c>
      <c r="J34" s="4" t="inlineStr">
        <is>
          <t>设备清单（2）.xlsx</t>
        </is>
      </c>
      <c r="K34" s="4" t="inlineStr"/>
      <c r="L34" s="4" t="inlineStr">
        <is>
          <t>气量观察与防回流</t>
        </is>
      </c>
      <c r="M34" s="4" t="inlineStr"/>
    </row>
    <row r="35" ht="30" customHeight="1">
      <c r="A35" s="2" t="n">
        <v>34</v>
      </c>
      <c r="B35" s="6" t="inlineStr">
        <is>
          <t>选购</t>
        </is>
      </c>
      <c r="C35" s="4" t="inlineStr">
        <is>
          <t>执行</t>
        </is>
      </c>
      <c r="D35" s="4" t="inlineStr">
        <is>
          <t>蠕动泵</t>
        </is>
      </c>
      <c r="E35" s="4" t="inlineStr">
        <is>
          <t>12 V 微型蠕动泵 + 硅胶管</t>
        </is>
      </c>
      <c r="F35" s="2" t="n">
        <v>1</v>
      </c>
      <c r="G35" s="2" t="n">
        <v>2</v>
      </c>
      <c r="H35" s="2" t="inlineStr">
        <is>
          <t>套</t>
        </is>
      </c>
      <c r="I35" s="2" t="n">
        <v>19.8</v>
      </c>
      <c r="J35" s="4" t="inlineStr">
        <is>
          <t>设备清单（2）.xlsx</t>
        </is>
      </c>
      <c r="K35" s="4" t="inlineStr"/>
      <c r="L35" s="4" t="inlineStr">
        <is>
          <t>补水或加液</t>
        </is>
      </c>
      <c r="M35" s="4" t="inlineStr"/>
    </row>
    <row r="36" ht="30" customHeight="1">
      <c r="A36" s="2" t="n">
        <v>35</v>
      </c>
      <c r="B36" s="6" t="inlineStr">
        <is>
          <t>选购</t>
        </is>
      </c>
      <c r="C36" s="4" t="inlineStr">
        <is>
          <t>电源</t>
        </is>
      </c>
      <c r="D36" s="4" t="inlineStr">
        <is>
          <t>5 V 电源</t>
        </is>
      </c>
      <c r="E36" s="4" t="inlineStr">
        <is>
          <t>5 V / 2 A</t>
        </is>
      </c>
      <c r="F36" s="2" t="n">
        <v>0</v>
      </c>
      <c r="G36" s="2" t="n">
        <v>2</v>
      </c>
      <c r="H36" s="2" t="inlineStr">
        <is>
          <t>只</t>
        </is>
      </c>
      <c r="I36" s="2" t="n">
        <v>5.19</v>
      </c>
      <c r="J36" s="4" t="inlineStr">
        <is>
          <t>设备清单（2）.xlsx</t>
        </is>
      </c>
      <c r="K36" s="4" t="inlineStr"/>
      <c r="L36" s="4" t="inlineStr">
        <is>
          <t>调试备用</t>
        </is>
      </c>
      <c r="M36" s="4" t="inlineStr">
        <is>
          <t>最小系统改由 12 V 经降压供电，本适配器不进入安装</t>
        </is>
      </c>
    </row>
    <row r="37" ht="30" customHeight="1">
      <c r="A37" s="2" t="n">
        <v>36</v>
      </c>
      <c r="B37" s="6" t="inlineStr">
        <is>
          <t>选购</t>
        </is>
      </c>
      <c r="C37" s="4" t="inlineStr">
        <is>
          <t>连接</t>
        </is>
      </c>
      <c r="D37" s="4" t="inlineStr">
        <is>
          <t>DC 电源母座</t>
        </is>
      </c>
      <c r="E37" s="4" t="inlineStr">
        <is>
          <t>DC005，5.5×2.5 mm，带线</t>
        </is>
      </c>
      <c r="F37" s="2" t="n">
        <v>0</v>
      </c>
      <c r="G37" s="2" t="n">
        <v>3</v>
      </c>
      <c r="H37" s="2" t="inlineStr">
        <is>
          <t>只</t>
        </is>
      </c>
      <c r="I37" s="2" t="n">
        <v>2.1</v>
      </c>
      <c r="J37" s="4" t="inlineStr">
        <is>
          <t>淘宝订单 3316417466033058980</t>
        </is>
      </c>
      <c r="K37" s="5" t="inlineStr">
        <is>
          <t>https://item.taobao.com/item.htm?id=1045906676410</t>
        </is>
      </c>
      <c r="L37" s="4" t="inlineStr">
        <is>
          <t>备用电源口</t>
        </is>
      </c>
      <c r="M37" s="4" t="inlineStr">
        <is>
          <t>实付 6.30 元。最小系统电源口为 BG16</t>
        </is>
      </c>
    </row>
    <row r="38" ht="30" customHeight="1">
      <c r="A38" s="2" t="n">
        <v>37</v>
      </c>
      <c r="B38" s="6" t="inlineStr">
        <is>
          <t>选购</t>
        </is>
      </c>
      <c r="C38" s="4" t="inlineStr">
        <is>
          <t>总线</t>
        </is>
      </c>
      <c r="D38" s="4" t="inlineStr">
        <is>
          <t>TTL 转 RS485</t>
        </is>
      </c>
      <c r="E38" s="4" t="inlineStr">
        <is>
          <t>MAX13487，硬件自动方向</t>
        </is>
      </c>
      <c r="F38" s="2" t="n">
        <v>1</v>
      </c>
      <c r="G38" s="2" t="n">
        <v>3</v>
      </c>
      <c r="H38" s="2" t="inlineStr">
        <is>
          <t>块</t>
        </is>
      </c>
      <c r="I38" s="2" t="n">
        <v>8.5</v>
      </c>
      <c r="J38" s="4" t="inlineStr">
        <is>
          <t>淘宝订单 3316849069024003789</t>
        </is>
      </c>
      <c r="K38" s="5" t="inlineStr">
        <is>
          <t>https://item.taobao.com/item.htm?id=1082100816221</t>
        </is>
      </c>
      <c r="L38" s="4" t="inlineStr">
        <is>
          <t>RS485 水质变送器</t>
        </is>
      </c>
      <c r="M38" s="4" t="inlineStr">
        <is>
          <t>订单实付 35.50 元，另运费 10 元。模拟 pH/TDS 方案下不必安装</t>
        </is>
      </c>
    </row>
    <row r="39" ht="30" customHeight="1">
      <c r="A39" s="2" t="n">
        <v>38</v>
      </c>
      <c r="B39" s="6" t="inlineStr">
        <is>
          <t>选购</t>
        </is>
      </c>
      <c r="C39" s="4" t="inlineStr">
        <is>
          <t>存储</t>
        </is>
      </c>
      <c r="D39" s="4" t="inlineStr">
        <is>
          <t>TF 卡座</t>
        </is>
      </c>
      <c r="E39" s="4" t="inlineStr">
        <is>
          <t>Micro SD 转 SPI，焊接版</t>
        </is>
      </c>
      <c r="F39" s="2" t="n">
        <v>1</v>
      </c>
      <c r="G39" s="2" t="n">
        <v>2</v>
      </c>
      <c r="H39" s="2" t="inlineStr">
        <is>
          <t>块</t>
        </is>
      </c>
      <c r="I39" s="2" t="n">
        <v>3.9</v>
      </c>
      <c r="J39" s="4" t="inlineStr">
        <is>
          <t>淘宝订单 3316848853047058980</t>
        </is>
      </c>
      <c r="K39" s="5" t="inlineStr">
        <is>
          <t>https://item.taobao.com/item.htm?id=1079782787295</t>
        </is>
      </c>
      <c r="L39" s="4" t="inlineStr">
        <is>
          <t>主板历史记录</t>
        </is>
      </c>
      <c r="M39" s="4" t="inlineStr"/>
    </row>
    <row r="40" ht="30" customHeight="1">
      <c r="A40" s="2" t="n">
        <v>39</v>
      </c>
      <c r="B40" s="6" t="inlineStr">
        <is>
          <t>选购</t>
        </is>
      </c>
      <c r="C40" s="4" t="inlineStr">
        <is>
          <t>存储</t>
        </is>
      </c>
      <c r="D40" s="4" t="inlineStr">
        <is>
          <t>TF 存储卡</t>
        </is>
      </c>
      <c r="E40" s="4" t="inlineStr">
        <is>
          <t>飞利浦 16 GB MicroSD</t>
        </is>
      </c>
      <c r="F40" s="2" t="n">
        <v>1</v>
      </c>
      <c r="G40" s="2" t="n">
        <v>3</v>
      </c>
      <c r="H40" s="2" t="inlineStr">
        <is>
          <t>张</t>
        </is>
      </c>
      <c r="I40" s="2" t="n">
        <v>101.7</v>
      </c>
      <c r="J40" s="4" t="inlineStr">
        <is>
          <t>京东订单 3621441007253310</t>
        </is>
      </c>
      <c r="K40" s="4" t="inlineStr"/>
      <c r="L40" s="4" t="inlineStr">
        <is>
          <t>摄像头或主板记录</t>
        </is>
      </c>
      <c r="M40" s="4" t="inlineStr">
        <is>
          <t>101.70 元为该订单 3 件合计；无商品页链接</t>
        </is>
      </c>
    </row>
    <row r="41" ht="30" customHeight="1">
      <c r="A41" s="2" t="n">
        <v>40</v>
      </c>
      <c r="B41" s="6" t="inlineStr">
        <is>
          <t>选购</t>
        </is>
      </c>
      <c r="C41" s="4" t="inlineStr">
        <is>
          <t>结构</t>
        </is>
      </c>
      <c r="D41" s="4" t="inlineStr">
        <is>
          <t>超声波支架</t>
        </is>
      </c>
      <c r="E41" s="4" t="inlineStr">
        <is>
          <t>亚克力</t>
        </is>
      </c>
      <c r="F41" s="2" t="n">
        <v>1</v>
      </c>
      <c r="G41" s="2" t="n">
        <v>2</v>
      </c>
      <c r="H41" s="2" t="inlineStr">
        <is>
          <t>只</t>
        </is>
      </c>
      <c r="I41" s="2" t="n">
        <v>1.07</v>
      </c>
      <c r="J41" s="4" t="inlineStr">
        <is>
          <t>设备清单（2）.xlsx</t>
        </is>
      </c>
      <c r="K41" s="4" t="inlineStr"/>
      <c r="L41" s="4" t="inlineStr">
        <is>
          <t>HC-SR04 固定</t>
        </is>
      </c>
      <c r="M41" s="4" t="inlineStr"/>
    </row>
    <row r="42" ht="30" customHeight="1">
      <c r="A42" s="2" t="n">
        <v>41</v>
      </c>
      <c r="B42" s="6" t="inlineStr">
        <is>
          <t>选购</t>
        </is>
      </c>
      <c r="C42" s="4" t="inlineStr">
        <is>
          <t>连接</t>
        </is>
      </c>
      <c r="D42" s="4" t="inlineStr">
        <is>
          <t>杜邦扩展线</t>
        </is>
      </c>
      <c r="E42" s="4" t="inlineStr">
        <is>
          <t>1 母拖 5 母，红，20 cm 量级</t>
        </is>
      </c>
      <c r="F42" s="2" t="n">
        <v>0</v>
      </c>
      <c r="G42" s="2" t="n">
        <v>3</v>
      </c>
      <c r="H42" s="2" t="inlineStr">
        <is>
          <t>条</t>
        </is>
      </c>
      <c r="I42" s="2" t="n">
        <v>9</v>
      </c>
      <c r="J42" s="4" t="inlineStr">
        <is>
          <t>淘宝订单 3316402383056012971</t>
        </is>
      </c>
      <c r="K42" s="5" t="inlineStr">
        <is>
          <t>https://item.taobao.com/item.htm?id=1051888345759</t>
        </is>
      </c>
      <c r="L42" s="4" t="inlineStr">
        <is>
          <t>电源分配</t>
        </is>
      </c>
      <c r="M42" s="4" t="inlineStr">
        <is>
          <t>同单另有黑色 3 条</t>
        </is>
      </c>
    </row>
    <row r="43" ht="30" customHeight="1">
      <c r="A43" s="2" t="n">
        <v>42</v>
      </c>
      <c r="B43" s="6" t="inlineStr">
        <is>
          <t>选购</t>
        </is>
      </c>
      <c r="C43" s="4" t="inlineStr">
        <is>
          <t>连接</t>
        </is>
      </c>
      <c r="D43" s="4" t="inlineStr">
        <is>
          <t>杜邦扩展线</t>
        </is>
      </c>
      <c r="E43" s="4" t="inlineStr">
        <is>
          <t>1 母拖 5 母，黑</t>
        </is>
      </c>
      <c r="F43" s="2" t="n">
        <v>0</v>
      </c>
      <c r="G43" s="2" t="n">
        <v>3</v>
      </c>
      <c r="H43" s="2" t="inlineStr">
        <is>
          <t>条</t>
        </is>
      </c>
      <c r="I43" s="2" t="n">
        <v>9</v>
      </c>
      <c r="J43" s="4" t="inlineStr">
        <is>
          <t>淘宝订单 3316402383056012971</t>
        </is>
      </c>
      <c r="K43" s="5" t="inlineStr">
        <is>
          <t>https://item.taobao.com/item.htm?id=1051888345759</t>
        </is>
      </c>
      <c r="L43" s="4" t="inlineStr">
        <is>
          <t>电源分配</t>
        </is>
      </c>
      <c r="M43" s="4" t="inlineStr">
        <is>
          <t>订单实付 76.20 元，含下列公头线</t>
        </is>
      </c>
    </row>
    <row r="44" ht="30" customHeight="1">
      <c r="A44" s="2" t="n">
        <v>43</v>
      </c>
      <c r="B44" s="6" t="inlineStr">
        <is>
          <t>选购</t>
        </is>
      </c>
      <c r="C44" s="4" t="inlineStr">
        <is>
          <t>连接</t>
        </is>
      </c>
      <c r="D44" s="4" t="inlineStr">
        <is>
          <t>杜邦扩展线</t>
        </is>
      </c>
      <c r="E44" s="4" t="inlineStr">
        <is>
          <t>1 母拖 5 公，黑</t>
        </is>
      </c>
      <c r="F44" s="2" t="n">
        <v>0</v>
      </c>
      <c r="G44" s="2" t="n">
        <v>3</v>
      </c>
      <c r="H44" s="2" t="inlineStr">
        <is>
          <t>条</t>
        </is>
      </c>
      <c r="I44" s="2" t="n">
        <v>3.7</v>
      </c>
      <c r="J44" s="4" t="inlineStr">
        <is>
          <t>淘宝订单 3316402383056012971</t>
        </is>
      </c>
      <c r="K44" s="5" t="inlineStr">
        <is>
          <t>https://item.taobao.com/item.htm?id=1052424360279</t>
        </is>
      </c>
      <c r="L44" s="4" t="inlineStr">
        <is>
          <t>信号分接</t>
        </is>
      </c>
      <c r="M44" s="4" t="inlineStr"/>
    </row>
    <row r="45" ht="30" customHeight="1">
      <c r="A45" s="2" t="n">
        <v>44</v>
      </c>
      <c r="B45" s="6" t="inlineStr">
        <is>
          <t>选购</t>
        </is>
      </c>
      <c r="C45" s="4" t="inlineStr">
        <is>
          <t>连接</t>
        </is>
      </c>
      <c r="D45" s="4" t="inlineStr">
        <is>
          <t>杜邦扩展线</t>
        </is>
      </c>
      <c r="E45" s="4" t="inlineStr">
        <is>
          <t>1 母拖 5 公，红</t>
        </is>
      </c>
      <c r="F45" s="2" t="n">
        <v>0</v>
      </c>
      <c r="G45" s="2" t="n">
        <v>3</v>
      </c>
      <c r="H45" s="2" t="inlineStr">
        <is>
          <t>条</t>
        </is>
      </c>
      <c r="I45" s="2" t="n">
        <v>3.7</v>
      </c>
      <c r="J45" s="4" t="inlineStr">
        <is>
          <t>淘宝订单 3316402383056012971</t>
        </is>
      </c>
      <c r="K45" s="5" t="inlineStr">
        <is>
          <t>https://item.taobao.com/item.htm?id=1052424360279</t>
        </is>
      </c>
      <c r="L45" s="4" t="inlineStr">
        <is>
          <t>信号分接</t>
        </is>
      </c>
      <c r="M45" s="4" t="inlineStr"/>
    </row>
    <row r="46" ht="30" customHeight="1">
      <c r="A46" s="2" t="n">
        <v>45</v>
      </c>
      <c r="B46" s="6" t="inlineStr">
        <is>
          <t>选购</t>
        </is>
      </c>
      <c r="C46" s="4" t="inlineStr">
        <is>
          <t>连接</t>
        </is>
      </c>
      <c r="D46" s="4" t="inlineStr">
        <is>
          <t>杜邦胶壳套件</t>
        </is>
      </c>
      <c r="E46" s="4" t="inlineStr">
        <is>
          <t>丢石头 2.54 mm 胶壳连接器套装</t>
        </is>
      </c>
      <c r="F46" s="2" t="n">
        <v>0</v>
      </c>
      <c r="G46" s="2" t="n">
        <v>1</v>
      </c>
      <c r="H46" s="2" t="inlineStr">
        <is>
          <t>套</t>
        </is>
      </c>
      <c r="I46" s="2" t="n">
        <v>65</v>
      </c>
      <c r="J46" s="4" t="inlineStr">
        <is>
          <t>京东订单 3625441008697455</t>
        </is>
      </c>
      <c r="K46" s="4" t="inlineStr"/>
      <c r="L46" s="4" t="inlineStr">
        <is>
          <t>自制排线</t>
        </is>
      </c>
      <c r="M46" s="4" t="inlineStr">
        <is>
          <t>无商品页链接</t>
        </is>
      </c>
    </row>
    <row r="47" ht="30" customHeight="1">
      <c r="A47" s="2" t="n">
        <v>46</v>
      </c>
      <c r="B47" s="6" t="inlineStr">
        <is>
          <t>选购</t>
        </is>
      </c>
      <c r="C47" s="4" t="inlineStr">
        <is>
          <t>连接</t>
        </is>
      </c>
      <c r="D47" s="4" t="inlineStr">
        <is>
          <t>BG12 防水接头</t>
        </is>
      </c>
      <c r="E47" s="4" t="inlineStr">
        <is>
          <t>4 芯公母套装（公插座 + 母插头）</t>
        </is>
      </c>
      <c r="F47" s="2" t="n">
        <v>2</v>
      </c>
      <c r="G47" s="2" t="n">
        <v>0</v>
      </c>
      <c r="H47" s="2" t="inlineStr">
        <is>
          <t>套</t>
        </is>
      </c>
      <c r="I47" s="2" t="n">
        <v>1.48</v>
      </c>
      <c r="J47" s="4" t="inlineStr">
        <is>
          <t>淘宝订单 3316403751043003789</t>
        </is>
      </c>
      <c r="K47" s="5" t="inlineStr">
        <is>
          <t>https://item.taobao.com/item.htm?id=672248125634</t>
        </is>
      </c>
      <c r="L47" s="4" t="inlineStr">
        <is>
          <t>光照、水位各 1 套出盒</t>
        </is>
      </c>
      <c r="M47" s="4" t="inlineStr">
        <is>
          <t>与必要项同款。订单 10 套已计入必要栏，此处不重复计采购数量</t>
        </is>
      </c>
    </row>
    <row r="48" ht="30" customHeight="1">
      <c r="A48" s="2" t="n">
        <v>47</v>
      </c>
      <c r="B48" s="6" t="inlineStr">
        <is>
          <t>选购</t>
        </is>
      </c>
      <c r="C48" s="4" t="inlineStr">
        <is>
          <t>连接</t>
        </is>
      </c>
      <c r="D48" s="4" t="inlineStr">
        <is>
          <t>BG12 防水接头</t>
        </is>
      </c>
      <c r="E48" s="4" t="inlineStr">
        <is>
          <t>2 芯公母套装（公插座 + 母插头）</t>
        </is>
      </c>
      <c r="F48" s="2" t="n">
        <v>0</v>
      </c>
      <c r="G48" s="2" t="n">
        <v>10</v>
      </c>
      <c r="H48" s="2" t="inlineStr">
        <is>
          <t>套</t>
        </is>
      </c>
      <c r="I48" s="2" t="n">
        <v>1.3</v>
      </c>
      <c r="J48" s="4" t="inlineStr">
        <is>
          <t>淘宝订单 3316403751043003789</t>
        </is>
      </c>
      <c r="K48" s="5" t="inlineStr">
        <is>
          <t>https://item.taobao.com/item.htm?id=672248125634</t>
        </is>
      </c>
      <c r="L48" s="4" t="inlineStr">
        <is>
          <t>备用出线</t>
        </is>
      </c>
      <c r="M48" s="4" t="inlineStr">
        <is>
          <t>店名写作 GX12</t>
        </is>
      </c>
    </row>
    <row r="49" ht="30" customHeight="1">
      <c r="A49" s="2" t="n">
        <v>48</v>
      </c>
      <c r="B49" s="6" t="inlineStr">
        <is>
          <t>选购</t>
        </is>
      </c>
      <c r="C49" s="4" t="inlineStr">
        <is>
          <t>连接</t>
        </is>
      </c>
      <c r="D49" s="4" t="inlineStr">
        <is>
          <t>BG12 防水接头</t>
        </is>
      </c>
      <c r="E49" s="4" t="inlineStr">
        <is>
          <t>3 芯公母套装（公插座 + 母插头）</t>
        </is>
      </c>
      <c r="F49" s="2" t="n">
        <v>0</v>
      </c>
      <c r="G49" s="2" t="n">
        <v>4</v>
      </c>
      <c r="H49" s="2" t="inlineStr">
        <is>
          <t>套</t>
        </is>
      </c>
      <c r="I49" s="2" t="n">
        <v>1.39</v>
      </c>
      <c r="J49" s="4" t="inlineStr">
        <is>
          <t>淘宝订单 3316403751043003789</t>
        </is>
      </c>
      <c r="K49" s="5" t="inlineStr">
        <is>
          <t>https://item.taobao.com/item.htm?id=672248125634</t>
        </is>
      </c>
      <c r="L49" s="4" t="inlineStr">
        <is>
          <t>备用出线</t>
        </is>
      </c>
      <c r="M49" s="4" t="inlineStr">
        <is>
          <t>店名写作 GX12</t>
        </is>
      </c>
    </row>
    <row r="50" ht="30" customHeight="1">
      <c r="A50" s="2" t="n">
        <v>49</v>
      </c>
      <c r="B50" s="6" t="inlineStr">
        <is>
          <t>选购</t>
        </is>
      </c>
      <c r="C50" s="4" t="inlineStr">
        <is>
          <t>连接</t>
        </is>
      </c>
      <c r="D50" s="4" t="inlineStr">
        <is>
          <t>防尘帽</t>
        </is>
      </c>
      <c r="E50" s="4" t="inlineStr">
        <is>
          <t>BG12，5 只装</t>
        </is>
      </c>
      <c r="F50" s="2" t="n">
        <v>0</v>
      </c>
      <c r="G50" s="2" t="n">
        <v>5</v>
      </c>
      <c r="H50" s="2" t="inlineStr">
        <is>
          <t>包</t>
        </is>
      </c>
      <c r="I50" s="2" t="n">
        <v>1.32</v>
      </c>
      <c r="J50" s="4" t="inlineStr">
        <is>
          <t>淘宝订单 3316403751043003789</t>
        </is>
      </c>
      <c r="K50" s="5" t="inlineStr">
        <is>
          <t>https://item.taobao.com/item.htm?id=672248125634</t>
        </is>
      </c>
      <c r="L50" s="4" t="inlineStr">
        <is>
          <t>闲置插座防护</t>
        </is>
      </c>
      <c r="M50" s="4" t="inlineStr">
        <is>
          <t>店名写作 GX12</t>
        </is>
      </c>
    </row>
    <row r="51" ht="30" customHeight="1">
      <c r="A51" s="2" t="n">
        <v>50</v>
      </c>
      <c r="B51" s="6" t="inlineStr">
        <is>
          <t>选购</t>
        </is>
      </c>
      <c r="C51" s="4" t="inlineStr">
        <is>
          <t>连接</t>
        </is>
      </c>
      <c r="D51" s="4" t="inlineStr">
        <is>
          <t>防尘帽</t>
        </is>
      </c>
      <c r="E51" s="4" t="inlineStr">
        <is>
          <t>BG16，5 只装</t>
        </is>
      </c>
      <c r="F51" s="2" t="n">
        <v>0</v>
      </c>
      <c r="G51" s="2" t="n">
        <v>1</v>
      </c>
      <c r="H51" s="2" t="inlineStr">
        <is>
          <t>包</t>
        </is>
      </c>
      <c r="I51" s="2" t="n">
        <v>1.67</v>
      </c>
      <c r="J51" s="4" t="inlineStr">
        <is>
          <t>淘宝订单 3316403751043003789</t>
        </is>
      </c>
      <c r="K51" s="5" t="inlineStr">
        <is>
          <t>https://item.taobao.com/item.htm?id=672248125634</t>
        </is>
      </c>
      <c r="L51" s="4" t="inlineStr">
        <is>
          <t>闲置插座防护</t>
        </is>
      </c>
      <c r="M51" s="4" t="inlineStr">
        <is>
          <t>店名写作 GX16</t>
        </is>
      </c>
    </row>
    <row r="52" ht="30" customHeight="1">
      <c r="A52" s="2" t="n">
        <v>51</v>
      </c>
      <c r="B52" s="6" t="inlineStr">
        <is>
          <t>选购</t>
        </is>
      </c>
      <c r="C52" s="4" t="inlineStr">
        <is>
          <t>连接</t>
        </is>
      </c>
      <c r="D52" s="4" t="inlineStr">
        <is>
          <t>BG12 防水插头</t>
        </is>
      </c>
      <c r="E52" s="4" t="inlineStr">
        <is>
          <t>2 芯母插头，焊 1 m 线</t>
        </is>
      </c>
      <c r="F52" s="2" t="n">
        <v>0</v>
      </c>
      <c r="G52" s="2" t="n">
        <v>2</v>
      </c>
      <c r="H52" s="2" t="inlineStr">
        <is>
          <t>条</t>
        </is>
      </c>
      <c r="I52" s="2" t="n">
        <v>7.22</v>
      </c>
      <c r="J52" s="4" t="inlineStr">
        <is>
          <t>淘宝订单 3316403751043003789</t>
        </is>
      </c>
      <c r="K52" s="5" t="inlineStr">
        <is>
          <t>https://item.taobao.com/item.htm?id=672248125634</t>
        </is>
      </c>
      <c r="L52" s="4" t="inlineStr">
        <is>
          <t>备用外部引线</t>
        </is>
      </c>
      <c r="M52" s="4" t="inlineStr">
        <is>
          <t>店名写作 GX12</t>
        </is>
      </c>
    </row>
    <row r="53" ht="30" customHeight="1">
      <c r="A53" s="2" t="n">
        <v>52</v>
      </c>
      <c r="B53" s="6" t="inlineStr">
        <is>
          <t>选购</t>
        </is>
      </c>
      <c r="C53" s="4" t="inlineStr">
        <is>
          <t>连接</t>
        </is>
      </c>
      <c r="D53" s="4" t="inlineStr">
        <is>
          <t>Type-C 母座</t>
        </is>
      </c>
      <c r="E53" s="4" t="inlineStr">
        <is>
          <t>6 焊点，带固定板，支持充电</t>
        </is>
      </c>
      <c r="F53" s="2" t="n">
        <v>0</v>
      </c>
      <c r="G53" s="2" t="n">
        <v>10</v>
      </c>
      <c r="H53" s="2" t="inlineStr">
        <is>
          <t>只</t>
        </is>
      </c>
      <c r="I53" s="2" t="n">
        <v>0.53</v>
      </c>
      <c r="J53" s="4" t="inlineStr">
        <is>
          <t>淘宝订单 3316872001102003789</t>
        </is>
      </c>
      <c r="K53" s="5" t="inlineStr">
        <is>
          <t>https://item.taobao.com/item.htm?id=834736410877</t>
        </is>
      </c>
      <c r="L53" s="4" t="inlineStr">
        <is>
          <t>供电或数据口改造</t>
        </is>
      </c>
      <c r="M53" s="4" t="inlineStr">
        <is>
          <t>实付 7.10 元，运费 1.80 元</t>
        </is>
      </c>
    </row>
    <row r="54" ht="30" customHeight="1">
      <c r="A54" s="2" t="n">
        <v>53</v>
      </c>
      <c r="B54" s="6" t="inlineStr">
        <is>
          <t>选购</t>
        </is>
      </c>
      <c r="C54" s="4" t="inlineStr">
        <is>
          <t>连接</t>
        </is>
      </c>
      <c r="D54" s="4" t="inlineStr">
        <is>
          <t>PCB 接线端子</t>
        </is>
      </c>
      <c r="E54" s="4" t="inlineStr">
        <is>
          <t>KF128，2P，3.81 mm，铜扣铜针</t>
        </is>
      </c>
      <c r="F54" s="2" t="n">
        <v>0</v>
      </c>
      <c r="G54" s="2" t="n">
        <v>6</v>
      </c>
      <c r="H54" s="2" t="inlineStr">
        <is>
          <t>只</t>
        </is>
      </c>
      <c r="I54" s="2" t="n">
        <v>0.22</v>
      </c>
      <c r="J54" s="4" t="inlineStr">
        <is>
          <t>淘宝订单 3317029860001003789</t>
        </is>
      </c>
      <c r="K54" s="5" t="inlineStr">
        <is>
          <t>https://item.taobao.com/item.htm?id=1042750428317</t>
        </is>
      </c>
      <c r="L54" s="4" t="inlineStr">
        <is>
          <t>功率线接线</t>
        </is>
      </c>
      <c r="M54" s="4" t="inlineStr">
        <is>
          <t>实付 3.32 元，运费 2.00 元</t>
        </is>
      </c>
    </row>
    <row r="55" ht="30" customHeight="1">
      <c r="A55" s="2" t="n">
        <v>54</v>
      </c>
      <c r="B55" s="6" t="inlineStr">
        <is>
          <t>选购</t>
        </is>
      </c>
      <c r="C55" s="4" t="inlineStr">
        <is>
          <t>无源器件</t>
        </is>
      </c>
      <c r="D55" s="4" t="inlineStr">
        <is>
          <t>电阻</t>
        </is>
      </c>
      <c r="E55" s="4" t="inlineStr">
        <is>
          <t>1/6 W 金属膜 2 kΩ 1%，100 只装</t>
        </is>
      </c>
      <c r="F55" s="2" t="n">
        <v>0</v>
      </c>
      <c r="G55" s="2" t="n">
        <v>100</v>
      </c>
      <c r="H55" s="2" t="inlineStr">
        <is>
          <t>只</t>
        </is>
      </c>
      <c r="I55" s="2" t="n">
        <v>2.57</v>
      </c>
      <c r="J55" s="4" t="inlineStr">
        <is>
          <t>淘宝订单 3316401879043003789</t>
        </is>
      </c>
      <c r="K55" s="5" t="inlineStr">
        <is>
          <t>https://item.taobao.com/item.htm?id=609077395130</t>
        </is>
      </c>
      <c r="L55" s="4" t="inlineStr">
        <is>
          <t>超声波回波分压</t>
        </is>
      </c>
      <c r="M55" s="4" t="inlineStr">
        <is>
          <t>包装价。同单 1 kΩ 已列入必要，供故障灯</t>
        </is>
      </c>
    </row>
    <row r="56" ht="30" customHeight="1">
      <c r="A56" s="2" t="n">
        <v>55</v>
      </c>
      <c r="B56" s="6" t="inlineStr">
        <is>
          <t>选购</t>
        </is>
      </c>
      <c r="C56" s="4" t="inlineStr">
        <is>
          <t>无源器件</t>
        </is>
      </c>
      <c r="D56" s="4" t="inlineStr">
        <is>
          <t>整流二极管</t>
        </is>
      </c>
      <c r="E56" s="4" t="inlineStr">
        <is>
          <t>1N4007，20 只装</t>
        </is>
      </c>
      <c r="F56" s="2" t="n">
        <v>0</v>
      </c>
      <c r="G56" s="2" t="n">
        <v>20</v>
      </c>
      <c r="H56" s="2" t="inlineStr">
        <is>
          <t>只</t>
        </is>
      </c>
      <c r="I56" s="2" t="n">
        <v>2.01</v>
      </c>
      <c r="J56" s="4" t="inlineStr">
        <is>
          <t>淘宝订单 3316401879043003789</t>
        </is>
      </c>
      <c r="K56" s="5" t="inlineStr">
        <is>
          <t>https://item.taobao.com/item.htm?id=614238411310</t>
        </is>
      </c>
      <c r="L56" s="4" t="inlineStr">
        <is>
          <t>电磁阀续流</t>
        </is>
      </c>
      <c r="M56" s="4" t="inlineStr">
        <is>
          <t>订单实付 7.15 元，含同单电阻</t>
        </is>
      </c>
    </row>
    <row r="57" ht="30" customHeight="1">
      <c r="A57" s="2" t="n">
        <v>56</v>
      </c>
      <c r="B57" s="6" t="inlineStr">
        <is>
          <t>选购</t>
        </is>
      </c>
      <c r="C57" s="4" t="inlineStr">
        <is>
          <t>辅料</t>
        </is>
      </c>
      <c r="D57" s="4" t="inlineStr">
        <is>
          <t>三防漆</t>
        </is>
      </c>
      <c r="E57" s="4" t="inlineStr">
        <is>
          <t>中山大田，透明，1 瓶</t>
        </is>
      </c>
      <c r="F57" s="2" t="n">
        <v>0</v>
      </c>
      <c r="G57" s="2" t="n">
        <v>1</v>
      </c>
      <c r="H57" s="2" t="inlineStr">
        <is>
          <t>瓶</t>
        </is>
      </c>
      <c r="I57" s="2" t="n">
        <v>15.9</v>
      </c>
      <c r="J57" s="4" t="inlineStr">
        <is>
          <t>淘宝订单 3317023920027012971</t>
        </is>
      </c>
      <c r="K57" s="5" t="inlineStr">
        <is>
          <t>https://item.taobao.com/item.htm?id=776205367002</t>
        </is>
      </c>
      <c r="L57" s="4" t="inlineStr">
        <is>
          <t>电路板防潮</t>
        </is>
      </c>
      <c r="M57" s="4" t="inlineStr"/>
    </row>
    <row r="58" ht="30" customHeight="1">
      <c r="A58" s="2" t="n">
        <v>57</v>
      </c>
      <c r="B58" s="6" t="inlineStr">
        <is>
          <t>选购</t>
        </is>
      </c>
      <c r="C58" s="4" t="inlineStr">
        <is>
          <t>辅料</t>
        </is>
      </c>
      <c r="D58" s="4" t="inlineStr">
        <is>
          <t>UV 胶</t>
        </is>
      </c>
      <c r="E58" s="4" t="inlineStr">
        <is>
          <t>焊点保护，透明稠款，50 g，配针头</t>
        </is>
      </c>
      <c r="F58" s="2" t="n">
        <v>0</v>
      </c>
      <c r="G58" s="2" t="n">
        <v>1</v>
      </c>
      <c r="H58" s="2" t="inlineStr">
        <is>
          <t>支</t>
        </is>
      </c>
      <c r="I58" s="2" t="n">
        <v>11.46</v>
      </c>
      <c r="J58" s="4" t="inlineStr">
        <is>
          <t>拼多多-清单.jpg</t>
        </is>
      </c>
      <c r="K58" s="4" t="inlineStr"/>
      <c r="L58" s="4" t="inlineStr">
        <is>
          <t>固定元件与排线</t>
        </is>
      </c>
      <c r="M58" s="4" t="inlineStr">
        <is>
          <t>宇辰光官方旗舰店；标价 12.06 元，实付 11.46 元</t>
        </is>
      </c>
    </row>
    <row r="59" ht="30" customHeight="1">
      <c r="A59" s="2" t="n">
        <v>58</v>
      </c>
      <c r="B59" s="6" t="inlineStr">
        <is>
          <t>选购</t>
        </is>
      </c>
      <c r="C59" s="4" t="inlineStr">
        <is>
          <t>紧固</t>
        </is>
      </c>
      <c r="D59" s="4" t="inlineStr">
        <is>
          <t>热熔铜螺母</t>
        </is>
      </c>
      <c r="E59" s="4" t="inlineStr">
        <is>
          <t>M3×4.0，外径 4.0 mm，200 个</t>
        </is>
      </c>
      <c r="F59" s="2" t="n">
        <v>0</v>
      </c>
      <c r="G59" s="2" t="n">
        <v>200</v>
      </c>
      <c r="H59" s="2" t="inlineStr">
        <is>
          <t>个</t>
        </is>
      </c>
      <c r="I59" s="2" t="n">
        <v>8</v>
      </c>
      <c r="J59" s="4" t="inlineStr">
        <is>
          <t>拼多多-清单.jpg</t>
        </is>
      </c>
      <c r="K59" s="4" t="inlineStr"/>
      <c r="L59" s="4" t="inlineStr">
        <is>
          <t>选购打印件预埋</t>
        </is>
      </c>
      <c r="M59" s="4" t="inlineStr">
        <is>
          <t>科宝威；实付 8 元，无商品链接</t>
        </is>
      </c>
    </row>
    <row r="60" ht="30" customHeight="1">
      <c r="A60" s="2" t="n">
        <v>59</v>
      </c>
      <c r="B60" s="6" t="inlineStr">
        <is>
          <t>选购</t>
        </is>
      </c>
      <c r="C60" s="4" t="inlineStr">
        <is>
          <t>紧固</t>
        </is>
      </c>
      <c r="D60" s="4" t="inlineStr">
        <is>
          <t>热熔铜螺母</t>
        </is>
      </c>
      <c r="E60" s="4" t="inlineStr">
        <is>
          <t>M3×5.0，外径 5.0 mm，200 个</t>
        </is>
      </c>
      <c r="F60" s="2" t="n">
        <v>0</v>
      </c>
      <c r="G60" s="2" t="n">
        <v>200</v>
      </c>
      <c r="H60" s="2" t="inlineStr">
        <is>
          <t>个</t>
        </is>
      </c>
      <c r="I60" s="2" t="n">
        <v>12</v>
      </c>
      <c r="J60" s="4" t="inlineStr">
        <is>
          <t>拼多多-清单.jpg</t>
        </is>
      </c>
      <c r="K60" s="4" t="inlineStr"/>
      <c r="L60" s="4" t="inlineStr">
        <is>
          <t>选购打印件预埋</t>
        </is>
      </c>
      <c r="M60" s="4" t="inlineStr">
        <is>
          <t>科宝威；实付 12 元，无商品链接</t>
        </is>
      </c>
    </row>
    <row r="61" ht="30" customHeight="1">
      <c r="A61" s="2" t="n">
        <v>60</v>
      </c>
      <c r="B61" s="6" t="inlineStr">
        <is>
          <t>选购</t>
        </is>
      </c>
      <c r="C61" s="4" t="inlineStr">
        <is>
          <t>3D打印</t>
        </is>
      </c>
      <c r="D61" s="4" t="inlineStr">
        <is>
          <t>单 TDS 缸沿支架</t>
        </is>
      </c>
      <c r="E61" s="4" t="inlineStr">
        <is>
          <t>TdsH_Bracket，Ø10</t>
        </is>
      </c>
      <c r="F61" s="2" t="n">
        <v>1</v>
      </c>
      <c r="G61" s="2" t="n">
        <v>2</v>
      </c>
      <c r="H61" s="2" t="inlineStr">
        <is>
          <t>只</t>
        </is>
      </c>
      <c r="I61" s="2" t="inlineStr"/>
      <c r="J61" s="4" t="inlineStr">
        <is>
          <t>docs/tds_h_bracket/stl/TdsH_Bracket.stl</t>
        </is>
      </c>
      <c r="K61" s="4" t="inlineStr"/>
      <c r="L61" s="4" t="inlineStr">
        <is>
          <t>单独安装 TDS</t>
        </is>
      </c>
      <c r="M61" s="4" t="inlineStr">
        <is>
          <t>自制，无采购价。最小系统已含三探头合一支架</t>
        </is>
      </c>
    </row>
    <row r="62" ht="30" customHeight="1">
      <c r="A62" s="2" t="n">
        <v>61</v>
      </c>
      <c r="B62" s="6" t="inlineStr">
        <is>
          <t>选购</t>
        </is>
      </c>
      <c r="C62" s="4" t="inlineStr">
        <is>
          <t>3D打印</t>
        </is>
      </c>
      <c r="D62" s="4" t="inlineStr">
        <is>
          <t>超声波缸沿支架</t>
        </is>
      </c>
      <c r="E62" s="4" t="inlineStr">
        <is>
          <t>SR04_Bracket</t>
        </is>
      </c>
      <c r="F62" s="2" t="n">
        <v>1</v>
      </c>
      <c r="G62" s="2" t="n">
        <v>2</v>
      </c>
      <c r="H62" s="2" t="inlineStr">
        <is>
          <t>只</t>
        </is>
      </c>
      <c r="I62" s="2" t="inlineStr"/>
      <c r="J62" s="4" t="inlineStr">
        <is>
          <t>docs/sr04_bracket/stl/SR04_Bracket.stl</t>
        </is>
      </c>
      <c r="K62" s="4" t="inlineStr"/>
      <c r="L62" s="4" t="inlineStr">
        <is>
          <t>HC-SR04 安装</t>
        </is>
      </c>
      <c r="M62" s="4" t="inlineStr">
        <is>
          <t>自制，无采购价。另有亚克力成品支架</t>
        </is>
      </c>
    </row>
    <row r="63" ht="30" customHeight="1">
      <c r="A63" s="2" t="n">
        <v>62</v>
      </c>
      <c r="B63" s="6" t="inlineStr">
        <is>
          <t>选购</t>
        </is>
      </c>
      <c r="C63" s="4" t="inlineStr">
        <is>
          <t>3D打印</t>
        </is>
      </c>
      <c r="D63" s="4" t="inlineStr">
        <is>
          <t>光照传感器外壳</t>
        </is>
      </c>
      <c r="E63" s="4" t="inlineStr">
        <is>
          <t>GY30_Base + GY30_Lid</t>
        </is>
      </c>
      <c r="F63" s="2" t="n">
        <v>1</v>
      </c>
      <c r="G63" s="2" t="n">
        <v>2</v>
      </c>
      <c r="H63" s="2" t="inlineStr">
        <is>
          <t>套</t>
        </is>
      </c>
      <c r="I63" s="2" t="inlineStr"/>
      <c r="J63" s="4" t="inlineStr">
        <is>
          <t>docs/gy30_case/stl/</t>
        </is>
      </c>
      <c r="K63" s="4" t="inlineStr"/>
      <c r="L63" s="4" t="inlineStr">
        <is>
          <t>BH1750 防护</t>
        </is>
      </c>
      <c r="M63" s="4" t="inlineStr">
        <is>
          <t>自制，无采购价</t>
        </is>
      </c>
    </row>
    <row r="64" ht="30" customHeight="1">
      <c r="A64" s="2" t="n">
        <v>63</v>
      </c>
      <c r="B64" s="6" t="inlineStr">
        <is>
          <t>选购</t>
        </is>
      </c>
      <c r="C64" s="4" t="inlineStr">
        <is>
          <t>3D打印</t>
        </is>
      </c>
      <c r="D64" s="4" t="inlineStr">
        <is>
          <t>摄像头吊架</t>
        </is>
      </c>
      <c r="E64" s="4" t="inlineStr">
        <is>
          <t>CamHanger_Upper + CamHanger_Lower</t>
        </is>
      </c>
      <c r="F64" s="2" t="n">
        <v>1</v>
      </c>
      <c r="G64" s="2" t="n">
        <v>1</v>
      </c>
      <c r="H64" s="2" t="inlineStr">
        <is>
          <t>套</t>
        </is>
      </c>
      <c r="I64" s="2" t="inlineStr"/>
      <c r="J64" s="4" t="inlineStr">
        <is>
          <t>docs/cam_hanger/</t>
        </is>
      </c>
      <c r="K64" s="4" t="inlineStr"/>
      <c r="L64" s="4" t="inlineStr">
        <is>
          <t>缸外摄像头固定</t>
        </is>
      </c>
      <c r="M64" s="4" t="inlineStr">
        <is>
          <t>自制，无采购价</t>
        </is>
      </c>
    </row>
    <row r="65" ht="30" customHeight="1">
      <c r="A65" s="2" t="n">
        <v>64</v>
      </c>
      <c r="B65" s="6" t="inlineStr">
        <is>
          <t>选购</t>
        </is>
      </c>
      <c r="C65" s="4" t="inlineStr">
        <is>
          <t>3D打印</t>
        </is>
      </c>
      <c r="D65" s="4" t="inlineStr">
        <is>
          <t>USB 摄像头外壳</t>
        </is>
      </c>
      <c r="E65" s="4" t="inlineStr">
        <is>
          <t>CamCase_Body + Back + Arca</t>
        </is>
      </c>
      <c r="F65" s="2" t="n">
        <v>1</v>
      </c>
      <c r="G65" s="2" t="n">
        <v>1</v>
      </c>
      <c r="H65" s="2" t="inlineStr">
        <is>
          <t>套</t>
        </is>
      </c>
      <c r="I65" s="2" t="inlineStr"/>
      <c r="J65" s="4" t="inlineStr">
        <is>
          <t>docs/usb_cam_case/stl/</t>
        </is>
      </c>
      <c r="K65" s="4" t="inlineStr"/>
      <c r="L65" s="4" t="inlineStr">
        <is>
          <t>摄像头防护</t>
        </is>
      </c>
      <c r="M65" s="4" t="inlineStr">
        <is>
          <t>自制，无采购价</t>
        </is>
      </c>
    </row>
    <row r="66" ht="30" customHeight="1">
      <c r="A66" s="2" t="n">
        <v>65</v>
      </c>
      <c r="B66" s="6" t="inlineStr">
        <is>
          <t>选购</t>
        </is>
      </c>
      <c r="C66" s="4" t="inlineStr">
        <is>
          <t>3D打印</t>
        </is>
      </c>
      <c r="D66" s="4" t="inlineStr">
        <is>
          <t>穿缸传感器支架</t>
        </is>
      </c>
      <c r="E66" s="4" t="inlineStr">
        <is>
          <t>压板、格兰、缸沿夹与导轨，见 sensor_mounts</t>
        </is>
      </c>
      <c r="F66" s="2" t="n">
        <v>1</v>
      </c>
      <c r="G66" s="2" t="n">
        <v>1</v>
      </c>
      <c r="H66" s="2" t="inlineStr">
        <is>
          <t>套</t>
        </is>
      </c>
      <c r="I66" s="2" t="inlineStr"/>
      <c r="J66" s="4" t="inlineStr">
        <is>
          <t>docs/sensor_mounts/stl/</t>
        </is>
      </c>
      <c r="K66" s="4" t="inlineStr"/>
      <c r="L66" s="4" t="inlineStr">
        <is>
          <t>探头穿缸安装</t>
        </is>
      </c>
      <c r="M66" s="4" t="inlineStr">
        <is>
          <t>自制，无采购价。与缸沿支架二选一</t>
        </is>
      </c>
    </row>
    <row r="67" ht="30" customHeight="1">
      <c r="A67" s="2" t="n">
        <v>66</v>
      </c>
      <c r="B67" s="6" t="inlineStr">
        <is>
          <t>选购</t>
        </is>
      </c>
      <c r="C67" s="4" t="inlineStr">
        <is>
          <t>3D打印</t>
        </is>
      </c>
      <c r="D67" s="4" t="inlineStr">
        <is>
          <t>密封圈</t>
        </is>
      </c>
      <c r="E67" s="4" t="inlineStr">
        <is>
          <t>SealRing 与 SealCap</t>
        </is>
      </c>
      <c r="F67" s="2" t="n">
        <v>1</v>
      </c>
      <c r="G67" s="2" t="n">
        <v>1</v>
      </c>
      <c r="H67" s="2" t="inlineStr">
        <is>
          <t>套</t>
        </is>
      </c>
      <c r="I67" s="2" t="inlineStr"/>
      <c r="J67" s="4" t="inlineStr">
        <is>
          <t>docs/seal_ring/stl/</t>
        </is>
      </c>
      <c r="K67" s="4" t="inlineStr"/>
      <c r="L67" s="4" t="inlineStr">
        <is>
          <t>密封</t>
        </is>
      </c>
      <c r="M67" s="4" t="inlineStr">
        <is>
          <t>自制，无采购价</t>
        </is>
      </c>
    </row>
    <row r="68" ht="30" customHeight="1">
      <c r="A68" s="2" t="n">
        <v>67</v>
      </c>
      <c r="B68" s="6" t="inlineStr">
        <is>
          <t>选购</t>
        </is>
      </c>
      <c r="C68" s="4" t="inlineStr">
        <is>
          <t>3D打印</t>
        </is>
      </c>
      <c r="D68" s="4" t="inlineStr">
        <is>
          <t>喂食器打印件</t>
        </is>
      </c>
      <c r="E68" s="4" t="inlineStr">
        <is>
          <t>转盘、壳体等，见 feeder/stl</t>
        </is>
      </c>
      <c r="F68" s="2" t="n">
        <v>1</v>
      </c>
      <c r="G68" s="2" t="n">
        <v>1</v>
      </c>
      <c r="H68" s="2" t="inlineStr">
        <is>
          <t>套</t>
        </is>
      </c>
      <c r="I68" s="2" t="inlineStr"/>
      <c r="J68" s="4" t="inlineStr">
        <is>
          <t>docs/feeder/stl/</t>
        </is>
      </c>
      <c r="K68" s="4" t="inlineStr"/>
      <c r="L68" s="4" t="inlineStr">
        <is>
          <t>定量投喂机构</t>
        </is>
      </c>
      <c r="M68" s="4" t="inlineStr">
        <is>
          <t>自制，无采购价。电机与继电器触点侧元件购物记录未单列</t>
        </is>
      </c>
    </row>
    <row r="69" ht="30" customHeight="1">
      <c r="A69" s="2" t="n">
        <v>68</v>
      </c>
      <c r="B69" s="7" t="inlineStr">
        <is>
          <t>工具</t>
        </is>
      </c>
      <c r="C69" s="4" t="inlineStr">
        <is>
          <t>安装</t>
        </is>
      </c>
      <c r="D69" s="4" t="inlineStr">
        <is>
          <t>钻孔模板</t>
        </is>
      </c>
      <c r="E69" s="4" t="inlineStr">
        <is>
          <t>DrillGuide，玻璃孔位 Ø4.2 / 6 / 12 / 12.5</t>
        </is>
      </c>
      <c r="F69" s="2" t="n">
        <v>0</v>
      </c>
      <c r="G69" s="2" t="n">
        <v>1</v>
      </c>
      <c r="H69" s="2" t="inlineStr">
        <is>
          <t>只</t>
        </is>
      </c>
      <c r="I69" s="2" t="inlineStr"/>
      <c r="J69" s="4" t="inlineStr">
        <is>
          <t>docs/sensor_mounts/stl/DrillGuide.stl</t>
        </is>
      </c>
      <c r="K69" s="4" t="inlineStr"/>
      <c r="L69" s="4" t="inlineStr">
        <is>
          <t>穿缸开孔定位</t>
        </is>
      </c>
      <c r="M69" s="4" t="inlineStr">
        <is>
          <t>自制，无采购价</t>
        </is>
      </c>
    </row>
    <row r="70" ht="30" customHeight="1">
      <c r="A70" s="2" t="n">
        <v>69</v>
      </c>
      <c r="B70" s="7" t="inlineStr">
        <is>
          <t>工具</t>
        </is>
      </c>
      <c r="C70" s="4" t="inlineStr">
        <is>
          <t>测试</t>
        </is>
      </c>
      <c r="D70" s="4" t="inlineStr">
        <is>
          <t>直流可调电源</t>
        </is>
      </c>
      <c r="E70" s="4" t="inlineStr">
        <is>
          <t>KUAIQU，带 OCP/OVP 报警</t>
        </is>
      </c>
      <c r="F70" s="2" t="n">
        <v>0</v>
      </c>
      <c r="G70" s="2" t="n">
        <v>1</v>
      </c>
      <c r="H70" s="2" t="inlineStr">
        <is>
          <t>台</t>
        </is>
      </c>
      <c r="I70" s="2" t="n">
        <v>233</v>
      </c>
      <c r="J70" s="4" t="inlineStr">
        <is>
          <t>京东订单 3618441006061091</t>
        </is>
      </c>
      <c r="K70" s="4" t="inlineStr"/>
      <c r="L70" s="4" t="inlineStr">
        <is>
          <t>调试供电</t>
        </is>
      </c>
      <c r="M70" s="4" t="inlineStr">
        <is>
          <t>京东订单列表未给出商品页链接</t>
        </is>
      </c>
    </row>
    <row r="71" ht="30" customHeight="1">
      <c r="A71" s="2" t="n">
        <v>70</v>
      </c>
      <c r="B71" s="7" t="inlineStr">
        <is>
          <t>工具</t>
        </is>
      </c>
      <c r="C71" s="4" t="inlineStr">
        <is>
          <t>测试</t>
        </is>
      </c>
      <c r="D71" s="4" t="inlineStr">
        <is>
          <t>面包板</t>
        </is>
      </c>
      <c r="E71" s="4" t="inlineStr">
        <is>
          <t>实验面包板</t>
        </is>
      </c>
      <c r="F71" s="2" t="n">
        <v>0</v>
      </c>
      <c r="G71" s="2" t="n">
        <v>2</v>
      </c>
      <c r="H71" s="2" t="inlineStr">
        <is>
          <t>块</t>
        </is>
      </c>
      <c r="I71" s="2" t="n">
        <v>6.76</v>
      </c>
      <c r="J71" s="4" t="inlineStr">
        <is>
          <t>设备清单（2）.xlsx</t>
        </is>
      </c>
      <c r="K71" s="4" t="inlineStr"/>
      <c r="L71" s="4" t="inlineStr">
        <is>
          <t>临时接线</t>
        </is>
      </c>
      <c r="M71" s="4" t="inlineStr"/>
    </row>
    <row r="72" ht="30" customHeight="1">
      <c r="A72" s="2" t="n">
        <v>71</v>
      </c>
      <c r="B72" s="7" t="inlineStr">
        <is>
          <t>工具</t>
        </is>
      </c>
      <c r="C72" s="4" t="inlineStr">
        <is>
          <t>安装</t>
        </is>
      </c>
      <c r="D72" s="4" t="inlineStr">
        <is>
          <t>剥线钳</t>
        </is>
      </c>
      <c r="E72" s="4" t="inlineStr">
        <is>
          <t>绿林电工剥线钳</t>
        </is>
      </c>
      <c r="F72" s="2" t="n">
        <v>0</v>
      </c>
      <c r="G72" s="2" t="n">
        <v>1</v>
      </c>
      <c r="H72" s="2" t="inlineStr">
        <is>
          <t>把</t>
        </is>
      </c>
      <c r="I72" s="2" t="n">
        <v>72.90000000000001</v>
      </c>
      <c r="J72" s="4" t="inlineStr">
        <is>
          <t>京东订单 3625441012267649</t>
        </is>
      </c>
      <c r="K72" s="4" t="inlineStr"/>
      <c r="L72" s="4" t="inlineStr">
        <is>
          <t>接线</t>
        </is>
      </c>
      <c r="M72" s="4" t="inlineStr">
        <is>
          <t>无商品页链接</t>
        </is>
      </c>
    </row>
    <row r="73" ht="30" customHeight="1">
      <c r="A73" s="2" t="n">
        <v>72</v>
      </c>
      <c r="B73" s="7" t="inlineStr">
        <is>
          <t>工具</t>
        </is>
      </c>
      <c r="C73" s="4" t="inlineStr">
        <is>
          <t>安装</t>
        </is>
      </c>
      <c r="D73" s="4" t="inlineStr">
        <is>
          <t>压线钳</t>
        </is>
      </c>
      <c r="E73" s="4" t="inlineStr">
        <is>
          <t>SN-2549，PH2.0 / XH2.54 / VH3.96 / JST</t>
        </is>
      </c>
      <c r="F73" s="2" t="n">
        <v>0</v>
      </c>
      <c r="G73" s="2" t="n">
        <v>1</v>
      </c>
      <c r="H73" s="2" t="inlineStr">
        <is>
          <t>把</t>
        </is>
      </c>
      <c r="I73" s="2" t="n">
        <v>15.5</v>
      </c>
      <c r="J73" s="4" t="inlineStr">
        <is>
          <t>拼多多-清单.jpg</t>
        </is>
      </c>
      <c r="K73" s="4" t="inlineStr"/>
      <c r="L73" s="4" t="inlineStr">
        <is>
          <t>压制杜邦与 JST 端子</t>
        </is>
      </c>
      <c r="M73" s="4" t="inlineStr">
        <is>
          <t>CWGJ 五金工具旗舰店；无商品链接</t>
        </is>
      </c>
    </row>
    <row r="74" ht="30" customHeight="1">
      <c r="A74" s="2" t="n">
        <v>73</v>
      </c>
      <c r="B74" s="7" t="inlineStr">
        <is>
          <t>工具</t>
        </is>
      </c>
      <c r="C74" s="4" t="inlineStr">
        <is>
          <t>安装</t>
        </is>
      </c>
      <c r="D74" s="4" t="inlineStr">
        <is>
          <t>锡渣盒</t>
        </is>
      </c>
      <c r="E74" s="4" t="inlineStr">
        <is>
          <t>软硅胶烙铁架，蓝色</t>
        </is>
      </c>
      <c r="F74" s="2" t="n">
        <v>0</v>
      </c>
      <c r="G74" s="2" t="n">
        <v>1</v>
      </c>
      <c r="H74" s="2" t="inlineStr">
        <is>
          <t>只</t>
        </is>
      </c>
      <c r="I74" s="2" t="n">
        <v>13</v>
      </c>
      <c r="J74" s="4" t="inlineStr">
        <is>
          <t>拼多多-清单.jpg</t>
        </is>
      </c>
      <c r="K74" s="4" t="inlineStr"/>
      <c r="L74" s="4" t="inlineStr">
        <is>
          <t>焊接清洁</t>
        </is>
      </c>
      <c r="M74" s="4" t="inlineStr">
        <is>
          <t>华舟五金制品厂；订单列表无商品链接</t>
        </is>
      </c>
    </row>
    <row r="75" ht="30" customHeight="1">
      <c r="A75" s="2" t="n">
        <v>74</v>
      </c>
      <c r="B75" s="7" t="inlineStr">
        <is>
          <t>工具</t>
        </is>
      </c>
      <c r="C75" s="4" t="inlineStr">
        <is>
          <t>安装</t>
        </is>
      </c>
      <c r="D75" s="4" t="inlineStr">
        <is>
          <t>合金开孔器</t>
        </is>
      </c>
      <c r="E75" s="4" t="inlineStr">
        <is>
          <t>Ø12 mm</t>
        </is>
      </c>
      <c r="F75" s="2" t="n">
        <v>0</v>
      </c>
      <c r="G75" s="2" t="n">
        <v>1</v>
      </c>
      <c r="H75" s="2" t="inlineStr">
        <is>
          <t>支</t>
        </is>
      </c>
      <c r="I75" s="2" t="n">
        <v>6.37</v>
      </c>
      <c r="J75" s="4" t="inlineStr">
        <is>
          <t>拼多多-清单.jpg</t>
        </is>
      </c>
      <c r="K75" s="4" t="inlineStr"/>
      <c r="L75" s="4" t="inlineStr">
        <is>
          <t>外壳开孔</t>
        </is>
      </c>
      <c r="M75" s="4" t="inlineStr">
        <is>
          <t>人民电器；标价 6.7 元，实付 6.37 元</t>
        </is>
      </c>
    </row>
    <row r="76" ht="30" customHeight="1">
      <c r="A76" s="2" t="n">
        <v>75</v>
      </c>
      <c r="B76" s="7" t="inlineStr">
        <is>
          <t>工具</t>
        </is>
      </c>
      <c r="C76" s="4" t="inlineStr">
        <is>
          <t>安装</t>
        </is>
      </c>
      <c r="D76" s="4" t="inlineStr">
        <is>
          <t>合金开孔器</t>
        </is>
      </c>
      <c r="E76" s="4" t="inlineStr">
        <is>
          <t>Ø16 mm</t>
        </is>
      </c>
      <c r="F76" s="2" t="n">
        <v>0</v>
      </c>
      <c r="G76" s="2" t="n">
        <v>1</v>
      </c>
      <c r="H76" s="2" t="inlineStr">
        <is>
          <t>支</t>
        </is>
      </c>
      <c r="I76" s="2" t="n">
        <v>7.5</v>
      </c>
      <c r="J76" s="4" t="inlineStr">
        <is>
          <t>拼多多-清单.jpg</t>
        </is>
      </c>
      <c r="K76" s="4" t="inlineStr"/>
      <c r="L76" s="4" t="inlineStr">
        <is>
          <t>外壳开孔</t>
        </is>
      </c>
      <c r="M76" s="4" t="inlineStr">
        <is>
          <t>人民电器；标价约 7.9 元，实付 7.5 元</t>
        </is>
      </c>
    </row>
  </sheetData>
  <autoFilter ref="A1:M76"/>
  <hyperlinks>
    <hyperlink xmlns:r="http://schemas.openxmlformats.org/officeDocument/2006/relationships" ref="K6" r:id="rId1"/>
    <hyperlink xmlns:r="http://schemas.openxmlformats.org/officeDocument/2006/relationships" ref="K7" r:id="rId2"/>
    <hyperlink xmlns:r="http://schemas.openxmlformats.org/officeDocument/2006/relationships" ref="K10" r:id="rId3"/>
    <hyperlink xmlns:r="http://schemas.openxmlformats.org/officeDocument/2006/relationships" ref="K11" r:id="rId4"/>
    <hyperlink xmlns:r="http://schemas.openxmlformats.org/officeDocument/2006/relationships" ref="K12" r:id="rId5"/>
    <hyperlink xmlns:r="http://schemas.openxmlformats.org/officeDocument/2006/relationships" ref="K13" r:id="rId6"/>
    <hyperlink xmlns:r="http://schemas.openxmlformats.org/officeDocument/2006/relationships" ref="K14" r:id="rId7"/>
    <hyperlink xmlns:r="http://schemas.openxmlformats.org/officeDocument/2006/relationships" ref="K23" r:id="rId8"/>
    <hyperlink xmlns:r="http://schemas.openxmlformats.org/officeDocument/2006/relationships" ref="K24" r:id="rId9"/>
    <hyperlink xmlns:r="http://schemas.openxmlformats.org/officeDocument/2006/relationships" ref="K25" r:id="rId10"/>
    <hyperlink xmlns:r="http://schemas.openxmlformats.org/officeDocument/2006/relationships" ref="K26" r:id="rId11"/>
    <hyperlink xmlns:r="http://schemas.openxmlformats.org/officeDocument/2006/relationships" ref="K30" r:id="rId12"/>
    <hyperlink xmlns:r="http://schemas.openxmlformats.org/officeDocument/2006/relationships" ref="K37" r:id="rId13"/>
    <hyperlink xmlns:r="http://schemas.openxmlformats.org/officeDocument/2006/relationships" ref="K38" r:id="rId14"/>
    <hyperlink xmlns:r="http://schemas.openxmlformats.org/officeDocument/2006/relationships" ref="K39" r:id="rId15"/>
    <hyperlink xmlns:r="http://schemas.openxmlformats.org/officeDocument/2006/relationships" ref="K42" r:id="rId16"/>
    <hyperlink xmlns:r="http://schemas.openxmlformats.org/officeDocument/2006/relationships" ref="K43" r:id="rId17"/>
    <hyperlink xmlns:r="http://schemas.openxmlformats.org/officeDocument/2006/relationships" ref="K44" r:id="rId18"/>
    <hyperlink xmlns:r="http://schemas.openxmlformats.org/officeDocument/2006/relationships" ref="K45" r:id="rId19"/>
    <hyperlink xmlns:r="http://schemas.openxmlformats.org/officeDocument/2006/relationships" ref="K47" r:id="rId20"/>
    <hyperlink xmlns:r="http://schemas.openxmlformats.org/officeDocument/2006/relationships" ref="K48" r:id="rId21"/>
    <hyperlink xmlns:r="http://schemas.openxmlformats.org/officeDocument/2006/relationships" ref="K49" r:id="rId22"/>
    <hyperlink xmlns:r="http://schemas.openxmlformats.org/officeDocument/2006/relationships" ref="K50" r:id="rId23"/>
    <hyperlink xmlns:r="http://schemas.openxmlformats.org/officeDocument/2006/relationships" ref="K51" r:id="rId24"/>
    <hyperlink xmlns:r="http://schemas.openxmlformats.org/officeDocument/2006/relationships" ref="K52" r:id="rId25"/>
    <hyperlink xmlns:r="http://schemas.openxmlformats.org/officeDocument/2006/relationships" ref="K53" r:id="rId26"/>
    <hyperlink xmlns:r="http://schemas.openxmlformats.org/officeDocument/2006/relationships" ref="K54" r:id="rId27"/>
    <hyperlink xmlns:r="http://schemas.openxmlformats.org/officeDocument/2006/relationships" ref="K55" r:id="rId28"/>
    <hyperlink xmlns:r="http://schemas.openxmlformats.org/officeDocument/2006/relationships" ref="K56" r:id="rId29"/>
    <hyperlink xmlns:r="http://schemas.openxmlformats.org/officeDocument/2006/relationships" ref="K57" r:id="rId30"/>
  </hyperlinks>
  <pageMargins left="0.4" right="0.4" top="1" bottom="1" header="0.5" footer="0.5"/>
  <pageSetup orientation="landscape" paperSize="9" fitToHeight="0" fitToWidth="1"/>
  <headerFooter>
    <oddHeader/>
    <oddFooter>&amp;C第 &amp;P 页</oddFooter>
    <evenHeader/>
    <evenFooter/>
    <firstHeader/>
    <firstFooter/>
  </headerFooter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8" customWidth="1" min="3" max="3"/>
  </cols>
  <sheetData>
    <row r="1">
      <c r="A1" s="1" t="inlineStr">
        <is>
          <t>区分</t>
        </is>
      </c>
      <c r="B1" s="1" t="inlineStr">
        <is>
          <t>条目数</t>
        </is>
      </c>
      <c r="C1" s="1" t="inlineStr">
        <is>
          <t>采购数量合计</t>
        </is>
      </c>
    </row>
    <row r="2" ht="22" customHeight="1">
      <c r="A2" s="2" t="inlineStr">
        <is>
          <t>必要</t>
        </is>
      </c>
      <c r="B2" s="2">
        <f>COUNTIF(整机BOM!B:B,A2)</f>
        <v/>
      </c>
      <c r="C2" s="2">
        <f>SUMIF(整机BOM!B:B,A2,整机BOM!G:G)</f>
        <v/>
      </c>
    </row>
    <row r="3" ht="22" customHeight="1">
      <c r="A3" s="2" t="inlineStr">
        <is>
          <t>选购</t>
        </is>
      </c>
      <c r="B3" s="2">
        <f>COUNTIF(整机BOM!B:B,A3)</f>
        <v/>
      </c>
      <c r="C3" s="2">
        <f>SUMIF(整机BOM!B:B,A3,整机BOM!G:G)</f>
        <v/>
      </c>
    </row>
    <row r="4" ht="22" customHeight="1">
      <c r="A4" s="2" t="inlineStr">
        <is>
          <t>工具</t>
        </is>
      </c>
      <c r="B4" s="2">
        <f>COUNTIF(整机BOM!B:B,A4)</f>
        <v/>
      </c>
      <c r="C4" s="2">
        <f>SUMIF(整机BOM!B:B,A4,整机BOM!G:G)</f>
        <v/>
      </c>
    </row>
    <row r="5" ht="22" customHeight="1">
      <c r="A5" s="8" t="inlineStr">
        <is>
          <t>合计</t>
        </is>
      </c>
      <c r="B5" s="8">
        <f>SUM(B2:B4)</f>
        <v/>
      </c>
      <c r="C5" s="8">
        <f>SUM(C2:C4)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10" customWidth="1" min="2" max="2"/>
  </cols>
  <sheetData>
    <row r="1">
      <c r="A1" s="9" t="inlineStr">
        <is>
          <t>项目</t>
        </is>
      </c>
      <c r="B1" s="9" t="inlineStr">
        <is>
          <t>说明</t>
        </is>
      </c>
    </row>
    <row r="2" ht="36" customHeight="1">
      <c r="A2" s="4" t="inlineStr">
        <is>
          <t>标题</t>
        </is>
      </c>
      <c r="B2" s="4" t="inlineStr">
        <is>
          <t>iAquaria 样机物料清单</t>
        </is>
      </c>
    </row>
    <row r="3" ht="36" customHeight="1">
      <c r="A3" s="4" t="inlineStr">
        <is>
          <t>必要</t>
        </is>
      </c>
      <c r="B3" s="4" t="inlineStr">
        <is>
          <t>安装水温、TDS 和 pH 最小系统所需的全部采购件。外部 12 V 经二芯 BG16 进盒，三只传感器各用一套四芯 BG12 出盒。电源口旁设开关、绿色开机灯和红色故障灯；盒内用 LM2596 降至 5 V。</t>
        </is>
      </c>
    </row>
    <row r="4" ht="36" customHeight="1">
      <c r="A4" s="4" t="inlineStr">
        <is>
          <t>十套</t>
        </is>
      </c>
      <c r="B4" s="4" t="inlineStr">
        <is>
          <t>最小系统文件按 10 套计算。单件按单套用量乘 10，故四芯 BG12 为 30 套。热缩管 10 套共用 1 卷。4.7 kΩ 与 1 kΩ 按安装只数计用量，金额按 1 包包装价。开关、指示灯和三极管购物记录中没有，不估价格。</t>
        </is>
      </c>
    </row>
    <row r="5" ht="36" customHeight="1">
      <c r="A5" s="4" t="inlineStr">
        <is>
          <t>选购</t>
        </is>
      </c>
      <c r="B5" s="4" t="inlineStr">
        <is>
          <t>最小系统以外的电子元件、耗材和 3D 打印件。包括光照、水位、摄像头、继电器、电磁阀、泵、12 V 供电、RS485、存储、面板接插件，以及对应外壳和支架。</t>
        </is>
      </c>
    </row>
    <row r="6" ht="36" customHeight="1">
      <c r="A6" s="4" t="inlineStr">
        <is>
          <t>工具</t>
        </is>
      </c>
      <c r="B6" s="4" t="inlineStr">
        <is>
          <t>安装和测试所用的工具与仪器，不装入样机。包括可调电源、面包板、剥线钳、压线钳、锡渣盒、开孔器和钻孔模板。</t>
        </is>
      </c>
    </row>
    <row r="7" ht="36" customHeight="1">
      <c r="A7" s="4" t="inlineStr">
        <is>
          <t>价格</t>
        </is>
      </c>
      <c r="B7" s="4" t="inlineStr">
        <is>
          <t>单价取自对应购物记录。包装出售的电阻、二极管按包装标价，不拆成单只成本。3D 打印件为自制，不填写估价。</t>
        </is>
      </c>
    </row>
    <row r="8" ht="36" customHeight="1">
      <c r="A8" s="4" t="inlineStr">
        <is>
          <t>链接</t>
        </is>
      </c>
      <c r="B8" s="4" t="inlineStr">
        <is>
          <t>淘宝保留商品页链接。京东订单列表和拼多多订单截图只有商品名与实付金额，没有商品页地址。打印件来源写仓库内 STL 路径。</t>
        </is>
      </c>
    </row>
    <row r="9" ht="36" customHeight="1">
      <c r="A9" s="4" t="inlineStr">
        <is>
          <t>未列入</t>
        </is>
      </c>
      <c r="B9" s="4" t="inlineStr">
        <is>
          <t>京东订单中的华为手表、药品、威纶通触摸屏下载线和碱性电池与本系统无关，未列入。交易关闭的 12 V 电源 1 只未计入采购数量。喂食器电机、续流二极管和保险电阻在购物记录中没有对应行。</t>
        </is>
      </c>
    </row>
    <row r="10" ht="36" customHeight="1">
      <c r="A10" s="4" t="inlineStr">
        <is>
          <t>固件</t>
        </is>
      </c>
      <c r="B10" s="4" t="inlineStr">
        <is>
          <t>现行主控固件按 RS485 变送器读取 TDS 与 pH。购物记录中的测量件是 DFRobot 模拟模块。若现场改用 RS485 变送器，MAX13487 改为必要，模拟模块改为备件。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2026-10-02T00:31:45Z</dcterms:created>
  <dcterms:modified xmlns:dcterms="http://purl.org/dc/terms/" xmlns:xsi="http://www.w3.org/2001/XMLSchema-instance" xsi:type="dcterms:W3CDTF">2026-10-02T00:31:45Z</dcterms:modified>
</cp:coreProperties>
</file>